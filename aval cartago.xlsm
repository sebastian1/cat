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CONSULTORÍAS\VALLE AVANZA\ACTUALIZACIÓN DE HERRAMIENTA\"/>
    </mc:Choice>
  </mc:AlternateContent>
  <xr:revisionPtr revIDLastSave="0" documentId="13_ncr:1_{25E596C2-2B45-4EBE-8B00-0C90DFACA77A}" xr6:coauthVersionLast="47" xr6:coauthVersionMax="47" xr10:uidLastSave="{00000000-0000-0000-0000-000000000000}"/>
  <bookViews>
    <workbookView xWindow="-110" yWindow="-110" windowWidth="19420" windowHeight="10300" tabRatio="755" xr2:uid="{AC87ABFB-7A25-4F98-B763-2E794E2BA461}"/>
  </bookViews>
  <sheets>
    <sheet name="AVALÚO CATASTRAL" sheetId="2" r:id="rId1"/>
    <sheet name="DECRETOS" sheetId="29" state="hidden" r:id="rId2"/>
    <sheet name="INCREMENTO" sheetId="26" state="hidden" r:id="rId3"/>
    <sheet name="DESTINACIÓN" sheetId="25" state="hidden" r:id="rId4"/>
    <sheet name="Hoja2" sheetId="21" state="hidden" r:id="rId5"/>
    <sheet name="AVALÚO PREDIOS ESPECIALES" sheetId="16" r:id="rId6"/>
    <sheet name="Hoja4" sheetId="27" state="hidden" r:id="rId7"/>
    <sheet name="Hoja3" sheetId="24" state="hidden" r:id="rId8"/>
    <sheet name="año" sheetId="22" state="hidden" r:id="rId9"/>
    <sheet name="Hoja1" sheetId="20" state="hidden" r:id="rId10"/>
    <sheet name="AV_MAS_UNIDADES" sheetId="19" state="hidden" r:id="rId11"/>
    <sheet name="AVALUOS_ESPECIALES (2)" sheetId="23" state="hidden" r:id="rId12"/>
    <sheet name="ZONA_TIPO" sheetId="11" state="hidden" r:id="rId13"/>
    <sheet name="USO_ANEX_1" sheetId="15" state="hidden" r:id="rId14"/>
    <sheet name="USO_ANE" sheetId="14" state="hidden" r:id="rId15"/>
    <sheet name="USOS_CONST" sheetId="9" state="hidden" r:id="rId16"/>
    <sheet name="ZHG" sheetId="3" state="hidden" r:id="rId17"/>
    <sheet name="AVALUOS_ESPECIALES" sheetId="28" state="hidden" r:id="rId18"/>
  </sheets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____________COD1" localSheetId="17">#REF!</definedName>
    <definedName name="______________COD1">#REF!</definedName>
    <definedName name="____________COD1">#REF!</definedName>
    <definedName name="____________TYW6">#REF!</definedName>
    <definedName name="___________COD1">#REF!</definedName>
    <definedName name="__________COD1">#REF!</definedName>
    <definedName name="__________TYW6">#REF!</definedName>
    <definedName name="_________COD1">#REF!</definedName>
    <definedName name="_________TYW6">#REF!</definedName>
    <definedName name="________COD1">#REF!</definedName>
    <definedName name="________TYW6">#REF!</definedName>
    <definedName name="_______COD1">#REF!</definedName>
    <definedName name="_______TYW6">#REF!</definedName>
    <definedName name="______COD1">#REF!</definedName>
    <definedName name="______TYW6">#REF!</definedName>
    <definedName name="_____COD1">#REF!</definedName>
    <definedName name="_____TYW6">#REF!</definedName>
    <definedName name="____COD1">#REF!</definedName>
    <definedName name="____TT1">#REF!</definedName>
    <definedName name="____TYW6">#REF!</definedName>
    <definedName name="___COD1">#REF!</definedName>
    <definedName name="___dos12">'[1]F50100-12-10-V1'!#REF!</definedName>
    <definedName name="___dos15">'[1]F50100-12-10-V1'!#REF!</definedName>
    <definedName name="___dos23">'[1]F50100-12-10-V1'!#REF!</definedName>
    <definedName name="___dos31">'[1]F50100-12-10-V1'!#REF!</definedName>
    <definedName name="___dos32">'[1]F50100-12-10-V1'!#REF!</definedName>
    <definedName name="___dos33">'[1]F50100-12-10-V1'!#REF!</definedName>
    <definedName name="___TYW6" localSheetId="17">#REF!</definedName>
    <definedName name="___TYW6">#REF!</definedName>
    <definedName name="___uno11">'[1]F50100-12-10-V1'!#REF!</definedName>
    <definedName name="___uno12">'[1]F50100-12-10-V1'!#REF!</definedName>
    <definedName name="___uno13">'[1]F50100-12-10-V1'!#REF!</definedName>
    <definedName name="___uno21">'[1]F50100-12-10-V1'!#REF!</definedName>
    <definedName name="___uno22">'[1]F50100-12-10-V1'!#REF!</definedName>
    <definedName name="___uno31">'[1]F50100-12-10-V1'!#REF!</definedName>
    <definedName name="___uno32">'[1]F50100-12-10-V1'!#REF!</definedName>
    <definedName name="___uno33">'[1]F50100-12-10-V1'!#REF!</definedName>
    <definedName name="___uno34">'[1]F50100-12-10-V1'!#REF!</definedName>
    <definedName name="___uno35">'[1]F50100-12-10-V1'!#REF!</definedName>
    <definedName name="__COD1" localSheetId="17">#REF!</definedName>
    <definedName name="__COD1">#REF!</definedName>
    <definedName name="__dos11">'[1]F50100-12-10-V1'!#REF!</definedName>
    <definedName name="__dos12">'[1]F50100-12-10-V1'!#REF!</definedName>
    <definedName name="__dos13">'[1]F50100-12-10-V1'!#REF!</definedName>
    <definedName name="__dos14">'[1]F50100-12-10-V1'!#REF!</definedName>
    <definedName name="__dos15">'[1]F50100-12-10-V1'!#REF!</definedName>
    <definedName name="__dos21">'[1]F50100-12-10-V1'!#REF!</definedName>
    <definedName name="__dos22">'[1]F50100-12-10-V1'!#REF!</definedName>
    <definedName name="__dos23">'[1]F50100-12-10-V1'!#REF!</definedName>
    <definedName name="__dos31">'[1]F50100-12-10-V1'!#REF!</definedName>
    <definedName name="__dos32">'[1]F50100-12-10-V1'!#REF!</definedName>
    <definedName name="__dos33">'[1]F50100-12-10-V1'!#REF!</definedName>
    <definedName name="__TT1" localSheetId="17">#REF!</definedName>
    <definedName name="__TT1">#REF!</definedName>
    <definedName name="__TYW6" localSheetId="17">#REF!</definedName>
    <definedName name="__TYW6">#REF!</definedName>
    <definedName name="__uno11" localSheetId="17">'[1]F50100-12-10-V1'!#REF!</definedName>
    <definedName name="__uno11">'[1]F50100-12-10-V1'!#REF!</definedName>
    <definedName name="__uno12" localSheetId="17">'[1]F50100-12-10-V1'!#REF!</definedName>
    <definedName name="__uno12">'[1]F50100-12-10-V1'!#REF!</definedName>
    <definedName name="__uno13">'[1]F50100-12-10-V1'!#REF!</definedName>
    <definedName name="__uno21">'[1]F50100-12-10-V1'!#REF!</definedName>
    <definedName name="__uno22">'[1]F50100-12-10-V1'!#REF!</definedName>
    <definedName name="__uno31">'[1]F50100-12-10-V1'!#REF!</definedName>
    <definedName name="__uno32">'[1]F50100-12-10-V1'!#REF!</definedName>
    <definedName name="__uno33">'[1]F50100-12-10-V1'!#REF!</definedName>
    <definedName name="__uno34">'[1]F50100-12-10-V1'!#REF!</definedName>
    <definedName name="__uno35">'[1]F50100-12-10-V1'!#REF!</definedName>
    <definedName name="_COD1" localSheetId="17">#REF!</definedName>
    <definedName name="_COD1">#REF!</definedName>
    <definedName name="_dos11">'[2]F50100-12-10-V1'!#REF!</definedName>
    <definedName name="_dos12">'[2]F50100-12-10-V1'!#REF!</definedName>
    <definedName name="_dos13">'[2]F50100-12-10-V1'!#REF!</definedName>
    <definedName name="_dos14">'[2]F50100-12-10-V1'!#REF!</definedName>
    <definedName name="_dos15">'[2]F50100-12-10-V1'!#REF!</definedName>
    <definedName name="_dos21">'[2]F50100-12-10-V1'!#REF!</definedName>
    <definedName name="_dos22">'[2]F50100-12-10-V1'!#REF!</definedName>
    <definedName name="_dos23">'[2]F50100-12-10-V1'!#REF!</definedName>
    <definedName name="_dos31">'[2]F50100-12-10-V1'!#REF!</definedName>
    <definedName name="_dos32">'[2]F50100-12-10-V1'!#REF!</definedName>
    <definedName name="_dos33">'[2]F50100-12-10-V1'!#REF!</definedName>
    <definedName name="_xlnm._FilterDatabase" localSheetId="10" hidden="1">AV_MAS_UNIDADES!$A$2:$C$14</definedName>
    <definedName name="_xlnm._FilterDatabase" localSheetId="17" hidden="1">AVALUOS_ESPECIALES!$A$1:$J$191</definedName>
    <definedName name="_xlnm._FilterDatabase" localSheetId="11" hidden="1">'AVALUOS_ESPECIALES (2)'!$A$1:$F$203</definedName>
    <definedName name="_xlnm._FilterDatabase" localSheetId="14" hidden="1">USO_ANE!$A$1:$E$61</definedName>
    <definedName name="_xlnm._FilterDatabase" localSheetId="15" hidden="1">USOS_CONST!$A$1:$B$70</definedName>
    <definedName name="_xlnm._FilterDatabase" localSheetId="16" hidden="1">ZHG!$A$1:$D$124</definedName>
    <definedName name="_TT1" localSheetId="17">#REF!</definedName>
    <definedName name="_TT1">#REF!</definedName>
    <definedName name="_TYW6" localSheetId="17">#REF!</definedName>
    <definedName name="_TYW6">#REF!</definedName>
    <definedName name="_uno11" localSheetId="17">'[2]F50100-12-10-V1'!#REF!</definedName>
    <definedName name="_uno11">'[2]F50100-12-10-V1'!#REF!</definedName>
    <definedName name="_uno12" localSheetId="17">'[2]F50100-12-10-V1'!#REF!</definedName>
    <definedName name="_uno12">'[2]F50100-12-10-V1'!#REF!</definedName>
    <definedName name="_uno13">'[2]F50100-12-10-V1'!#REF!</definedName>
    <definedName name="_uno21">'[2]F50100-12-10-V1'!#REF!</definedName>
    <definedName name="_uno22">'[2]F50100-12-10-V1'!#REF!</definedName>
    <definedName name="_uno31">'[2]F50100-12-10-V1'!#REF!</definedName>
    <definedName name="_uno32">'[2]F50100-12-10-V1'!#REF!</definedName>
    <definedName name="_uno33">'[2]F50100-12-10-V1'!#REF!</definedName>
    <definedName name="_uno34">'[2]F50100-12-10-V1'!#REF!</definedName>
    <definedName name="_uno35">'[2]F50100-12-10-V1'!#REF!</definedName>
    <definedName name="A" localSheetId="17">#REF!</definedName>
    <definedName name="A">#REF!</definedName>
    <definedName name="A_impresión_IM" localSheetId="17">#REF!</definedName>
    <definedName name="A_impresión_IM">#REF!</definedName>
    <definedName name="a25286000000050275" localSheetId="17">#REF!</definedName>
    <definedName name="a25286000000050275">#REF!</definedName>
    <definedName name="AA" localSheetId="17">'[2]F50100-12-10-V1'!#REF!</definedName>
    <definedName name="AA">'[2]F50100-12-10-V1'!#REF!</definedName>
    <definedName name="AAA" localSheetId="17">'[2]F50100-12-10-V1'!#REF!</definedName>
    <definedName name="AAA">'[2]F50100-12-10-V1'!#REF!</definedName>
    <definedName name="AAAA" localSheetId="17">#REF!</definedName>
    <definedName name="AAAA">#REF!</definedName>
    <definedName name="AAREA" localSheetId="17">#REF!</definedName>
    <definedName name="AAREA">#REF!</definedName>
    <definedName name="AC" localSheetId="17">#REF!</definedName>
    <definedName name="AC">#REF!</definedName>
    <definedName name="Acero">#REF!</definedName>
    <definedName name="Agregados">#REF!</definedName>
    <definedName name="Apar.Sanitarios">#REF!</definedName>
    <definedName name="_xlnm.Print_Area">#REF!</definedName>
    <definedName name="AREAIMP">#REF!</definedName>
    <definedName name="Areas_Actividad">[3]ZONAS_FISICAS!$H$29:$H$36</definedName>
    <definedName name="ASDD" localSheetId="17">#REF!</definedName>
    <definedName name="ASDD">#REF!</definedName>
    <definedName name="AT" localSheetId="17">#REF!</definedName>
    <definedName name="AT">#REF!</definedName>
    <definedName name="b" localSheetId="17">#REF!</definedName>
    <definedName name="b">#REF!</definedName>
    <definedName name="_xlnm.Database" localSheetId="17">[4]Muestra_Decreto50!#REF!</definedName>
    <definedName name="_xlnm.Database">[4]Muestra_Decreto50!#REF!</definedName>
    <definedName name="bhjbhj" localSheetId="17">#REF!</definedName>
    <definedName name="bhjbhj">#REF!</definedName>
    <definedName name="BNMBV" localSheetId="17">#REF!</definedName>
    <definedName name="BNMBV">#REF!</definedName>
    <definedName name="Carp.Aluminio" localSheetId="17">#REF!</definedName>
    <definedName name="Carp.Aluminio">#REF!</definedName>
    <definedName name="Carp.Metalica">#REF!</definedName>
    <definedName name="CD">#REF!</definedName>
    <definedName name="Cerrajeria">#REF!</definedName>
    <definedName name="cinco1">'[2]F50100-12-10-V1'!#REF!</definedName>
    <definedName name="cinco2">'[2]F50100-12-10-V1'!#REF!</definedName>
    <definedName name="cinco3">'[2]F50100-12-10-V1'!#REF!</definedName>
    <definedName name="cinco41">'[2]F50100-12-10-V1'!#REF!</definedName>
    <definedName name="cinco42">'[2]F50100-12-10-V1'!#REF!</definedName>
    <definedName name="cinco51">'[2]F50100-12-10-V1'!#REF!</definedName>
    <definedName name="cinco52">'[2]F50100-12-10-V1'!#REF!</definedName>
    <definedName name="cinco53">'[2]F50100-12-10-V1'!#REF!</definedName>
    <definedName name="cinco61">'[2]F50100-12-10-V1'!#REF!</definedName>
    <definedName name="cinco62">'[2]F50100-12-10-V1'!#REF!</definedName>
    <definedName name="cinco63">'[2]F50100-12-10-V1'!#REF!</definedName>
    <definedName name="Ciudades" localSheetId="17">#REF!</definedName>
    <definedName name="Ciudades">#REF!</definedName>
    <definedName name="COD" localSheetId="17">#REF!</definedName>
    <definedName name="COD">#REF!</definedName>
    <definedName name="CODSEC" localSheetId="17">#REF!</definedName>
    <definedName name="CODSEC">#REF!</definedName>
    <definedName name="Combustible">#REF!</definedName>
    <definedName name="COME">#REF!</definedName>
    <definedName name="CON">#REF!</definedName>
    <definedName name="Concretos">#REF!</definedName>
    <definedName name="COSTOS">#REF!</definedName>
    <definedName name="CS">#REF!</definedName>
    <definedName name="Cuadrillas">#REF!</definedName>
    <definedName name="cuatro1">'[2]F50100-12-10-V1'!#REF!</definedName>
    <definedName name="cuatro21">'[2]F50100-12-10-V1'!#REF!</definedName>
    <definedName name="cuatro22">'[2]F50100-12-10-V1'!#REF!</definedName>
    <definedName name="cuatro23">'[2]F50100-12-10-V1'!#REF!</definedName>
    <definedName name="cuatro24">'[2]F50100-12-10-V1'!#REF!</definedName>
    <definedName name="Cubierta" localSheetId="17">#REF!</definedName>
    <definedName name="Cubierta">#REF!</definedName>
    <definedName name="cvfd" localSheetId="17">#REF!</definedName>
    <definedName name="cvfd">#REF!</definedName>
    <definedName name="d" localSheetId="17">#REF!</definedName>
    <definedName name="d">#REF!</definedName>
    <definedName name="DD">#REF!</definedName>
    <definedName name="DDD">'[2]F50100-12-10-V1'!#REF!</definedName>
    <definedName name="DDDDD">'[2]F50100-12-10-V1'!#REF!</definedName>
    <definedName name="DEFR" localSheetId="17">#REF!</definedName>
    <definedName name="DEFR">#REF!</definedName>
    <definedName name="des" localSheetId="17">#REF!</definedName>
    <definedName name="des">#REF!</definedName>
    <definedName name="desarrollo" localSheetId="17">#REF!</definedName>
    <definedName name="desarrollo">#REF!</definedName>
    <definedName name="Destino">[3]Hoja1!$G$3:$G$29</definedName>
    <definedName name="DFGDF" localSheetId="17">#REF!</definedName>
    <definedName name="DFGDF">#REF!</definedName>
    <definedName name="diruno" localSheetId="17">#REF!</definedName>
    <definedName name="diruno">#REF!</definedName>
    <definedName name="Drywall" localSheetId="17">#REF!</definedName>
    <definedName name="Drywall">#REF!</definedName>
    <definedName name="DSGG">#REF!</definedName>
    <definedName name="DSV">#REF!</definedName>
    <definedName name="DVG">#REF!</definedName>
    <definedName name="E5UYU">#REF!</definedName>
    <definedName name="EDAD">#REF!</definedName>
    <definedName name="EDAS">#REF!</definedName>
    <definedName name="eeee">#REF!</definedName>
    <definedName name="ENCUESTA">#REF!</definedName>
    <definedName name="Equipos">#REF!</definedName>
    <definedName name="EquiposEspeciales">#REF!</definedName>
    <definedName name="EWSD">#REF!</definedName>
    <definedName name="Excel_BuiltIn_Print_Area">#REF!</definedName>
    <definedName name="Excel_BuiltIn_Print_Area_4_1">#REF!</definedName>
    <definedName name="Excel_BuiltIn_Print_Area_4_1_1">#REF!</definedName>
    <definedName name="Export" localSheetId="17" hidden="1">{"'Hoja1'!$A$1:$I$70"}</definedName>
    <definedName name="Export" hidden="1">{"'Hoja1'!$A$1:$I$70"}</definedName>
    <definedName name="EYT6Y">#REF!</definedName>
    <definedName name="Ferreteria">#REF!</definedName>
    <definedName name="FFSDF">#REF!</definedName>
    <definedName name="FG">#REF!</definedName>
    <definedName name="FGJHF">#REF!</definedName>
    <definedName name="FGV">#REF!</definedName>
    <definedName name="Formaletas">#REF!</definedName>
    <definedName name="FRE">#REF!</definedName>
    <definedName name="g">#REF!</definedName>
    <definedName name="GBB">#REF!</definedName>
    <definedName name="Geosinteticos">#REF!</definedName>
    <definedName name="GGR">#REF!</definedName>
    <definedName name="GHY">#REF!</definedName>
    <definedName name="GTYT">#REF!</definedName>
    <definedName name="HOJA">#REF!</definedName>
    <definedName name="HTML_CodePage" hidden="1">1252</definedName>
    <definedName name="HTML_Control" localSheetId="17" hidden="1">{"'Hoja1'!$A$1:$I$70"}</definedName>
    <definedName name="HTML_Control" hidden="1">{"'Hoja1'!$A$1:$I$70"}</definedName>
    <definedName name="HTML_Description" hidden="1">""</definedName>
    <definedName name="HTML_Email" hidden="1">""</definedName>
    <definedName name="HTML_Header" hidden="1">"Hoja1"</definedName>
    <definedName name="HTML_LastUpdate" hidden="1">"27/12/2000"</definedName>
    <definedName name="HTML_LineAfter" hidden="1">FALSE</definedName>
    <definedName name="HTML_LineBefore" hidden="1">FALSE</definedName>
    <definedName name="HTML_Name" hidden="1">"win98"</definedName>
    <definedName name="HTML_OBDlg2" hidden="1">TRUE</definedName>
    <definedName name="HTML_OBDlg4" hidden="1">TRUE</definedName>
    <definedName name="HTML_OS" hidden="1">0</definedName>
    <definedName name="HTML_PathFile" hidden="1">"C:\Mis documentos\HTML.htm"</definedName>
    <definedName name="HTML_Title" hidden="1">"CALENDARIO 2001"</definedName>
    <definedName name="Impermeabilizantes" localSheetId="17">#REF!</definedName>
    <definedName name="Impermeabilizantes">#REF!</definedName>
    <definedName name="Inmueble">[3]Hoja1!$E$3:$E$45</definedName>
    <definedName name="Inst.Electricas" localSheetId="17">#REF!</definedName>
    <definedName name="Inst.Electricas">#REF!</definedName>
    <definedName name="Inst.Hidrosanitarias" localSheetId="17">#REF!</definedName>
    <definedName name="Inst.Hidrosanitarias">#REF!</definedName>
    <definedName name="INSUMOS">[5]INSUMOS!$A$1:$A$859</definedName>
    <definedName name="ISABEL" localSheetId="17">#REF!</definedName>
    <definedName name="ISABEL">#REF!</definedName>
    <definedName name="ITAGUI" localSheetId="17">#REF!</definedName>
    <definedName name="ITAGUI">#REF!</definedName>
    <definedName name="j" localSheetId="17">#REF!</definedName>
    <definedName name="j">#REF!</definedName>
    <definedName name="jkhi">#REF!</definedName>
    <definedName name="k">#REF!</definedName>
    <definedName name="knjknjk">#REF!</definedName>
    <definedName name="Ladrillos">#REF!</definedName>
    <definedName name="LBMB">#REF!</definedName>
    <definedName name="LKI">#REF!</definedName>
    <definedName name="LMH">#REF!</definedName>
    <definedName name="lñl">#REF!</definedName>
    <definedName name="Maderas">#REF!</definedName>
    <definedName name="MAR">#REF!</definedName>
    <definedName name="matriz_2">#REF!</definedName>
    <definedName name="Matriz_3">#REF!</definedName>
    <definedName name="matriz_4">#REF!</definedName>
    <definedName name="MATRIZ_A">#REF!</definedName>
    <definedName name="MENU" localSheetId="17" hidden="1">{"'Hoja1'!$A$1:$I$70"}</definedName>
    <definedName name="MENU" hidden="1">{"'Hoja1'!$A$1:$I$70"}</definedName>
    <definedName name="Mercado">#REF!</definedName>
    <definedName name="mjjkj">#REF!</definedName>
    <definedName name="mml">#REF!</definedName>
    <definedName name="mnbv">#REF!</definedName>
    <definedName name="muros">#REF!</definedName>
    <definedName name="mvcx">#REF!</definedName>
    <definedName name="n">#REF!</definedName>
    <definedName name="NHG">#REF!</definedName>
    <definedName name="nmkjnjk">#REF!</definedName>
    <definedName name="NORDEN">#REF!</definedName>
    <definedName name="ÑLK">#REF!</definedName>
    <definedName name="ñlkh">#REF!</definedName>
    <definedName name="ocho1">'[2]F50100-12-10-V1'!#REF!</definedName>
    <definedName name="ocho21">'[2]F50100-12-10-V1'!#REF!</definedName>
    <definedName name="ocho22">'[2]F50100-12-10-V1'!#REF!</definedName>
    <definedName name="ocho23">'[2]F50100-12-10-V1'!#REF!</definedName>
    <definedName name="ocho24">'[2]F50100-12-10-V1'!#REF!</definedName>
    <definedName name="ocho3">'[2]F50100-12-10-V1'!#REF!</definedName>
    <definedName name="ocho4">'[2]F50100-12-10-V1'!#REF!</definedName>
    <definedName name="ocho51">'[2]F50100-12-10-V1'!#REF!</definedName>
    <definedName name="ocho52">'[2]F50100-12-10-V1'!#REF!</definedName>
    <definedName name="ocho53">'[2]F50100-12-10-V1'!#REF!</definedName>
    <definedName name="Ofertas" localSheetId="17">#REF!</definedName>
    <definedName name="Ofertas">#REF!</definedName>
    <definedName name="ORDEN" localSheetId="17">#REF!</definedName>
    <definedName name="ORDEN">#REF!</definedName>
    <definedName name="otros" localSheetId="17">#REF!</definedName>
    <definedName name="otros">#REF!</definedName>
    <definedName name="p">#REF!</definedName>
    <definedName name="PERC3">#REF!</definedName>
    <definedName name="perc3a2">#REF!</definedName>
    <definedName name="Pinturas">#REF!</definedName>
    <definedName name="PISOS">#REF!</definedName>
    <definedName name="PisosEnchapes">#REF!</definedName>
    <definedName name="pm">#REF!</definedName>
    <definedName name="PMCC">#REF!</definedName>
    <definedName name="PO">#REF!</definedName>
    <definedName name="poiu">#REF!</definedName>
    <definedName name="pokmn">#REF!</definedName>
    <definedName name="polkj">#REF!</definedName>
    <definedName name="POT">#REF!</definedName>
    <definedName name="Prefabricados">#REF!</definedName>
    <definedName name="Print_Area">#REF!</definedName>
    <definedName name="Proposito">[3]Hoja1!$C$3:$C$11</definedName>
    <definedName name="providencia" localSheetId="17">#REF!</definedName>
    <definedName name="providencia">#REF!</definedName>
    <definedName name="ra" localSheetId="17">#REF!</definedName>
    <definedName name="ra">#REF!</definedName>
    <definedName name="RANGOS" localSheetId="17">#REF!</definedName>
    <definedName name="RANGOS">#REF!</definedName>
    <definedName name="reds">#REF!</definedName>
    <definedName name="REFGF">#REF!</definedName>
    <definedName name="renta">#REF!</definedName>
    <definedName name="resultado">#REF!</definedName>
    <definedName name="RFD">#REF!</definedName>
    <definedName name="RGTEY">#REF!</definedName>
    <definedName name="S">#REF!</definedName>
    <definedName name="SANDRA">#REF!</definedName>
    <definedName name="sawee">#REF!</definedName>
    <definedName name="Sector">[3]Hoja1!$N$3:$N$1163</definedName>
    <definedName name="SECTOR_006517" localSheetId="17">#REF!</definedName>
    <definedName name="SECTOR_006517">#REF!</definedName>
    <definedName name="Sectores">[6]Sectores!$B$2:$F$1204</definedName>
    <definedName name="seis1" localSheetId="17">'[2]F50100-12-10-V1'!#REF!</definedName>
    <definedName name="seis1">'[2]F50100-12-10-V1'!#REF!</definedName>
    <definedName name="seis21" localSheetId="17">'[2]F50100-12-10-V1'!#REF!</definedName>
    <definedName name="seis21">'[2]F50100-12-10-V1'!#REF!</definedName>
    <definedName name="seis22" localSheetId="17">'[2]F50100-12-10-V1'!#REF!</definedName>
    <definedName name="seis22">'[2]F50100-12-10-V1'!#REF!</definedName>
    <definedName name="seis3" localSheetId="17">'[2]F50100-12-10-V1'!#REF!</definedName>
    <definedName name="seis3">'[2]F50100-12-10-V1'!#REF!</definedName>
    <definedName name="seis4" localSheetId="17">'[2]F50100-12-10-V1'!#REF!</definedName>
    <definedName name="seis4">'[2]F50100-12-10-V1'!#REF!</definedName>
    <definedName name="SFD" localSheetId="17">#REF!</definedName>
    <definedName name="SFD">#REF!</definedName>
    <definedName name="siete1" localSheetId="17">'[2]F50100-12-10-V1'!#REF!</definedName>
    <definedName name="siete1">'[2]F50100-12-10-V1'!#REF!</definedName>
    <definedName name="siete21" localSheetId="17">'[2]F50100-12-10-V1'!#REF!</definedName>
    <definedName name="siete21">'[2]F50100-12-10-V1'!#REF!</definedName>
    <definedName name="siete22">'[2]F50100-12-10-V1'!#REF!</definedName>
    <definedName name="siete23">'[2]F50100-12-10-V1'!#REF!</definedName>
    <definedName name="siete31">'[2]F50100-12-10-V1'!#REF!</definedName>
    <definedName name="siete32">'[2]F50100-12-10-V1'!#REF!</definedName>
    <definedName name="siete33">'[2]F50100-12-10-V1'!#REF!</definedName>
    <definedName name="siete34">'[2]F50100-12-10-V1'!#REF!</definedName>
    <definedName name="siete35">'[2]F50100-12-10-V1'!#REF!</definedName>
    <definedName name="siete36">'[2]F50100-12-10-V1'!#REF!</definedName>
    <definedName name="siete37">'[2]F50100-12-10-V1'!#REF!</definedName>
    <definedName name="siete41">'[2]F50100-12-10-V1'!#REF!</definedName>
    <definedName name="siete42">'[2]F50100-12-10-V1'!#REF!</definedName>
    <definedName name="siete43">'[2]F50100-12-10-V1'!#REF!</definedName>
    <definedName name="siete51">'[2]F50100-12-10-V1'!#REF!</definedName>
    <definedName name="siete52">'[2]F50100-12-10-V1'!#REF!</definedName>
    <definedName name="siete53">'[2]F50100-12-10-V1'!#REF!</definedName>
    <definedName name="siete54">'[2]F50100-12-10-V1'!#REF!</definedName>
    <definedName name="siete55">'[2]F50100-12-10-V1'!#REF!</definedName>
    <definedName name="siete6">'[2]F50100-12-10-V1'!#REF!</definedName>
    <definedName name="Solicitante">[3]Hoja1!$A$3:$A$23</definedName>
    <definedName name="SSD" localSheetId="17">#REF!</definedName>
    <definedName name="SSD">#REF!</definedName>
    <definedName name="SSSSS" localSheetId="17">#REF!</definedName>
    <definedName name="SSSSS">#REF!</definedName>
    <definedName name="t" localSheetId="17">#REF!</definedName>
    <definedName name="t">#REF!</definedName>
    <definedName name="Topografia">[3]ZONAS_FISICAS!$B$12:$B$14</definedName>
    <definedName name="Tratamiento">[3]ZONAS_FISICAS!$H$16:$H$25</definedName>
    <definedName name="treas" localSheetId="17">#REF!</definedName>
    <definedName name="treas">#REF!</definedName>
    <definedName name="tres11" localSheetId="17">'[2]F50100-12-10-V1'!#REF!</definedName>
    <definedName name="tres11">'[2]F50100-12-10-V1'!#REF!</definedName>
    <definedName name="tres12" localSheetId="17">'[2]F50100-12-10-V1'!#REF!</definedName>
    <definedName name="tres12">'[2]F50100-12-10-V1'!#REF!</definedName>
    <definedName name="tres21">'[2]F50100-12-10-V1'!#REF!</definedName>
    <definedName name="tres22">'[2]F50100-12-10-V1'!#REF!</definedName>
    <definedName name="tres31">'[2]F50100-12-10-V1'!#REF!</definedName>
    <definedName name="tres32">'[2]F50100-12-10-V1'!#REF!</definedName>
    <definedName name="tres33">'[2]F50100-12-10-V1'!#REF!</definedName>
    <definedName name="TY53Y" localSheetId="17">#REF!</definedName>
    <definedName name="TY53Y">#REF!</definedName>
    <definedName name="u" localSheetId="17">#REF!</definedName>
    <definedName name="u">#REF!</definedName>
    <definedName name="uihyg" localSheetId="17">#REF!</definedName>
    <definedName name="uihyg">#REF!</definedName>
    <definedName name="ujhg">#REF!</definedName>
    <definedName name="Universo">#REF!</definedName>
    <definedName name="UPZ">[3]Hoja1!$A$40:$A$153</definedName>
    <definedName name="UYJN" localSheetId="17">#REF!</definedName>
    <definedName name="UYJN">#REF!</definedName>
    <definedName name="VariosAnalisis" localSheetId="17">#REF!</definedName>
    <definedName name="VariosAnalisis">#REF!</definedName>
    <definedName name="VUIGENTE">[7]Hoja1!$A$1:$B$839</definedName>
    <definedName name="WEU5TUY" localSheetId="17">#REF!</definedName>
    <definedName name="WEU5TUY">#REF!</definedName>
    <definedName name="X" localSheetId="17">#REF!</definedName>
    <definedName name="X">#REF!</definedName>
    <definedName name="XCZXC" localSheetId="17">#REF!</definedName>
    <definedName name="XCZXC">#REF!</definedName>
    <definedName name="xxx">#REF!</definedName>
    <definedName name="xxxxx">#REF!</definedName>
    <definedName name="y">#REF!</definedName>
    <definedName name="YEEW">#REF!</definedName>
    <definedName name="YHT">#REF!</definedName>
    <definedName name="YTEY">#REF!</definedName>
    <definedName name="Z">#REF!</definedName>
    <definedName name="Z0">#REF!</definedName>
    <definedName name="ZHF">#REF!</definedName>
    <definedName name="ZHFRURALES">'[2]F50100-12-10-V1'!#REF!</definedName>
    <definedName name="ZIPA">[8]vcpred!$B$9:$AA$323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16" l="1"/>
  <c r="Q22" i="16"/>
  <c r="Q23" i="16"/>
  <c r="Q24" i="16"/>
  <c r="Q25" i="16"/>
  <c r="Q26" i="16"/>
  <c r="F20" i="16"/>
  <c r="G20" i="16" s="1"/>
  <c r="F21" i="16"/>
  <c r="G21" i="16" s="1"/>
  <c r="F22" i="16"/>
  <c r="G22" i="16" s="1"/>
  <c r="F23" i="16"/>
  <c r="G23" i="16" s="1"/>
  <c r="F24" i="16"/>
  <c r="G24" i="16" s="1"/>
  <c r="F25" i="16"/>
  <c r="G25" i="16" s="1"/>
  <c r="F26" i="16"/>
  <c r="G26" i="16" s="1"/>
  <c r="E22" i="16" l="1"/>
  <c r="L22" i="16" s="1"/>
  <c r="E23" i="16"/>
  <c r="L23" i="16" s="1"/>
  <c r="E24" i="16"/>
  <c r="L24" i="16" s="1"/>
  <c r="E25" i="16"/>
  <c r="L25" i="16" s="1"/>
  <c r="E26" i="16"/>
  <c r="L26" i="16" s="1"/>
  <c r="F10" i="2" l="1"/>
  <c r="H13" i="2"/>
  <c r="W18" i="2"/>
  <c r="H21" i="2"/>
  <c r="H22" i="2"/>
  <c r="H23" i="2"/>
  <c r="H24" i="2"/>
  <c r="H25" i="2"/>
  <c r="H26" i="2"/>
  <c r="H27" i="2"/>
  <c r="H28" i="2"/>
  <c r="H29" i="2"/>
  <c r="H30" i="2"/>
  <c r="H31" i="2"/>
  <c r="H32" i="2"/>
  <c r="D21" i="2"/>
  <c r="D22" i="2"/>
  <c r="D23" i="2"/>
  <c r="D24" i="2"/>
  <c r="D25" i="2"/>
  <c r="D26" i="2"/>
  <c r="D27" i="2"/>
  <c r="D28" i="2"/>
  <c r="D29" i="2"/>
  <c r="D30" i="2"/>
  <c r="D31" i="2"/>
  <c r="D32" i="2"/>
  <c r="R22" i="16"/>
  <c r="R23" i="16"/>
  <c r="R24" i="16"/>
  <c r="R25" i="16"/>
  <c r="R26" i="16"/>
  <c r="N21" i="16"/>
  <c r="O21" i="16" s="1"/>
  <c r="N22" i="16"/>
  <c r="N23" i="16"/>
  <c r="N24" i="16"/>
  <c r="O24" i="16" s="1"/>
  <c r="N25" i="16"/>
  <c r="N26" i="16"/>
  <c r="O26" i="16" s="1"/>
  <c r="N20" i="16"/>
  <c r="E18" i="2"/>
  <c r="O20" i="16" l="1"/>
  <c r="O25" i="16"/>
  <c r="O22" i="16"/>
  <c r="O23" i="16"/>
  <c r="S19" i="16"/>
  <c r="R19" i="16"/>
  <c r="Q19" i="16"/>
  <c r="L19" i="16"/>
  <c r="E19" i="16"/>
  <c r="D11" i="2" l="1"/>
  <c r="C11" i="2" s="1"/>
  <c r="F12" i="2" s="1"/>
  <c r="I18" i="2" s="1"/>
  <c r="Y18" i="2"/>
  <c r="Z18" i="2" l="1"/>
  <c r="AE18" i="2"/>
  <c r="AD18" i="2"/>
  <c r="F18" i="2" s="1"/>
  <c r="C3" i="26" l="1"/>
  <c r="C4" i="26"/>
  <c r="C5" i="26"/>
  <c r="C2" i="26"/>
  <c r="H17" i="2" l="1"/>
  <c r="E19" i="2" l="1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D12" i="2" l="1"/>
  <c r="C12" i="2" s="1"/>
  <c r="AE19" i="2" l="1"/>
  <c r="AF19" i="2"/>
  <c r="AE20" i="2"/>
  <c r="AF20" i="2"/>
  <c r="AE21" i="2"/>
  <c r="AF21" i="2"/>
  <c r="AE22" i="2"/>
  <c r="AF22" i="2"/>
  <c r="AE23" i="2"/>
  <c r="AF23" i="2"/>
  <c r="AE24" i="2"/>
  <c r="AF24" i="2"/>
  <c r="AE25" i="2"/>
  <c r="AF25" i="2"/>
  <c r="AE26" i="2"/>
  <c r="AF26" i="2"/>
  <c r="AE27" i="2"/>
  <c r="AF27" i="2"/>
  <c r="AE28" i="2"/>
  <c r="AF28" i="2"/>
  <c r="AE29" i="2"/>
  <c r="AF29" i="2"/>
  <c r="AE30" i="2"/>
  <c r="AF30" i="2"/>
  <c r="AE31" i="2"/>
  <c r="AF31" i="2"/>
  <c r="AE32" i="2"/>
  <c r="AF32" i="2"/>
  <c r="AF18" i="2"/>
  <c r="AB18" i="2" s="1"/>
  <c r="AD19" i="2"/>
  <c r="F19" i="2" s="1"/>
  <c r="AD20" i="2"/>
  <c r="F20" i="2" s="1"/>
  <c r="AD21" i="2"/>
  <c r="F21" i="2" s="1"/>
  <c r="AD22" i="2"/>
  <c r="F22" i="2" s="1"/>
  <c r="AD23" i="2"/>
  <c r="F23" i="2" s="1"/>
  <c r="AD24" i="2"/>
  <c r="F24" i="2" s="1"/>
  <c r="AD25" i="2"/>
  <c r="F25" i="2" s="1"/>
  <c r="AD26" i="2"/>
  <c r="F26" i="2" s="1"/>
  <c r="AD27" i="2"/>
  <c r="F27" i="2" s="1"/>
  <c r="AD28" i="2"/>
  <c r="F28" i="2" s="1"/>
  <c r="AD29" i="2"/>
  <c r="F29" i="2" s="1"/>
  <c r="AD30" i="2"/>
  <c r="F30" i="2" s="1"/>
  <c r="AD31" i="2"/>
  <c r="F31" i="2" s="1"/>
  <c r="AD32" i="2"/>
  <c r="F32" i="2" s="1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F33" i="2" l="1"/>
  <c r="T11" i="2"/>
  <c r="T9" i="2"/>
  <c r="T10" i="2" l="1"/>
  <c r="D17" i="2"/>
  <c r="AC17" i="2"/>
  <c r="T17" i="2"/>
  <c r="AA17" i="2"/>
  <c r="S17" i="2"/>
  <c r="D31" i="16"/>
  <c r="D30" i="16"/>
  <c r="D29" i="16"/>
  <c r="Y23" i="2" l="1"/>
  <c r="Y24" i="2"/>
  <c r="Y25" i="2"/>
  <c r="Y26" i="2"/>
  <c r="Y27" i="2"/>
  <c r="Y28" i="2"/>
  <c r="Y29" i="2"/>
  <c r="Y30" i="2"/>
  <c r="Y31" i="2"/>
  <c r="Y32" i="2"/>
  <c r="Z27" i="2" l="1"/>
  <c r="AB27" i="2" s="1"/>
  <c r="Z26" i="2"/>
  <c r="AB26" i="2" s="1"/>
  <c r="Z25" i="2"/>
  <c r="AB25" i="2" s="1"/>
  <c r="Z32" i="2"/>
  <c r="AB32" i="2" s="1"/>
  <c r="Z24" i="2"/>
  <c r="AB24" i="2" s="1"/>
  <c r="Z31" i="2"/>
  <c r="AB31" i="2" s="1"/>
  <c r="Z23" i="2"/>
  <c r="AB23" i="2" s="1"/>
  <c r="Z30" i="2"/>
  <c r="AB30" i="2" s="1"/>
  <c r="Z29" i="2"/>
  <c r="AB29" i="2" s="1"/>
  <c r="Z28" i="2"/>
  <c r="AB28" i="2" s="1"/>
  <c r="J19" i="2" l="1"/>
  <c r="M21" i="2"/>
  <c r="Q21" i="2" s="1"/>
  <c r="M29" i="2"/>
  <c r="Q29" i="2" s="1"/>
  <c r="M26" i="2"/>
  <c r="Q26" i="2" s="1"/>
  <c r="M22" i="2"/>
  <c r="Q22" i="2" s="1"/>
  <c r="M30" i="2"/>
  <c r="Q30" i="2" s="1"/>
  <c r="M28" i="2"/>
  <c r="Q28" i="2" s="1"/>
  <c r="M23" i="2"/>
  <c r="Q23" i="2" s="1"/>
  <c r="M31" i="2"/>
  <c r="Q31" i="2" s="1"/>
  <c r="M20" i="2"/>
  <c r="Q20" i="2" s="1"/>
  <c r="M24" i="2"/>
  <c r="Q24" i="2" s="1"/>
  <c r="M32" i="2"/>
  <c r="Q32" i="2" s="1"/>
  <c r="M25" i="2"/>
  <c r="Q25" i="2" s="1"/>
  <c r="M19" i="2"/>
  <c r="Q19" i="2" s="1"/>
  <c r="M27" i="2"/>
  <c r="Q27" i="2" s="1"/>
  <c r="R27" i="2" l="1"/>
  <c r="R28" i="2"/>
  <c r="R23" i="2"/>
  <c r="R22" i="2"/>
  <c r="R26" i="2"/>
  <c r="R25" i="2"/>
  <c r="R24" i="2"/>
  <c r="R29" i="2"/>
  <c r="R19" i="2"/>
  <c r="R32" i="2"/>
  <c r="R21" i="2"/>
  <c r="R30" i="2"/>
  <c r="R20" i="2"/>
  <c r="R31" i="2"/>
  <c r="I24" i="2"/>
  <c r="J28" i="2"/>
  <c r="I22" i="2"/>
  <c r="J23" i="2"/>
  <c r="I23" i="2"/>
  <c r="J29" i="2"/>
  <c r="G18" i="2"/>
  <c r="J18" i="2"/>
  <c r="I21" i="2"/>
  <c r="J21" i="2"/>
  <c r="S21" i="2" s="1"/>
  <c r="T21" i="2" s="1"/>
  <c r="J26" i="2"/>
  <c r="I25" i="2"/>
  <c r="J24" i="2"/>
  <c r="J22" i="2"/>
  <c r="I29" i="2"/>
  <c r="S29" i="2" s="1"/>
  <c r="T29" i="2" s="1"/>
  <c r="I20" i="2"/>
  <c r="I30" i="2"/>
  <c r="I31" i="2"/>
  <c r="J32" i="2"/>
  <c r="J20" i="2"/>
  <c r="I32" i="2"/>
  <c r="I19" i="2"/>
  <c r="S19" i="2" s="1"/>
  <c r="T19" i="2" s="1"/>
  <c r="I27" i="2"/>
  <c r="J27" i="2"/>
  <c r="J25" i="2"/>
  <c r="I28" i="2"/>
  <c r="I26" i="2"/>
  <c r="J30" i="2"/>
  <c r="J31" i="2"/>
  <c r="E59" i="14"/>
  <c r="E58" i="14"/>
  <c r="E60" i="14"/>
  <c r="E54" i="14"/>
  <c r="AA26" i="2" l="1"/>
  <c r="AC26" i="2" s="1"/>
  <c r="AA28" i="2"/>
  <c r="AC28" i="2" s="1"/>
  <c r="S30" i="2"/>
  <c r="T30" i="2" s="1"/>
  <c r="S23" i="2"/>
  <c r="T23" i="2" s="1"/>
  <c r="S27" i="2"/>
  <c r="T27" i="2" s="1"/>
  <c r="S22" i="2"/>
  <c r="T22" i="2" s="1"/>
  <c r="S24" i="2"/>
  <c r="T24" i="2" s="1"/>
  <c r="AA32" i="2"/>
  <c r="AC32" i="2" s="1"/>
  <c r="S25" i="2"/>
  <c r="T25" i="2" s="1"/>
  <c r="S31" i="2"/>
  <c r="T31" i="2" s="1"/>
  <c r="S20" i="2"/>
  <c r="T20" i="2" s="1"/>
  <c r="S32" i="2"/>
  <c r="T32" i="2" s="1"/>
  <c r="S28" i="2"/>
  <c r="T28" i="2" s="1"/>
  <c r="S26" i="2"/>
  <c r="T26" i="2" s="1"/>
  <c r="AA23" i="2"/>
  <c r="AC23" i="2" s="1"/>
  <c r="AA30" i="2"/>
  <c r="AC30" i="2" s="1"/>
  <c r="D20" i="2"/>
  <c r="H20" i="2" s="1"/>
  <c r="AA27" i="2"/>
  <c r="AC27" i="2" s="1"/>
  <c r="AA29" i="2"/>
  <c r="AC29" i="2" s="1"/>
  <c r="D19" i="2"/>
  <c r="H19" i="2" s="1"/>
  <c r="AA25" i="2"/>
  <c r="AC25" i="2" s="1"/>
  <c r="AA31" i="2"/>
  <c r="AC31" i="2" s="1"/>
  <c r="AA24" i="2"/>
  <c r="AC24" i="2" s="1"/>
  <c r="D18" i="2"/>
  <c r="H18" i="2" s="1"/>
  <c r="AA18" i="2"/>
  <c r="AC18" i="2" s="1"/>
  <c r="G19" i="2"/>
  <c r="G31" i="2"/>
  <c r="G25" i="2"/>
  <c r="G23" i="2"/>
  <c r="G21" i="2"/>
  <c r="G28" i="2"/>
  <c r="G30" i="2"/>
  <c r="G20" i="2"/>
  <c r="G32" i="2"/>
  <c r="G27" i="2"/>
  <c r="G29" i="2"/>
  <c r="G22" i="2"/>
  <c r="G26" i="2"/>
  <c r="G24" i="2"/>
  <c r="V9" i="2" l="1"/>
  <c r="E16" i="16" l="1"/>
  <c r="E12" i="16" l="1"/>
  <c r="D12" i="16" s="1"/>
  <c r="E11" i="16"/>
  <c r="D11" i="16" s="1"/>
  <c r="G12" i="16" s="1"/>
  <c r="I24" i="16" l="1"/>
  <c r="H24" i="16" s="1"/>
  <c r="I21" i="16"/>
  <c r="J24" i="16"/>
  <c r="J21" i="16"/>
  <c r="I26" i="16"/>
  <c r="H26" i="16" s="1"/>
  <c r="I23" i="16"/>
  <c r="H23" i="16" s="1"/>
  <c r="J26" i="16"/>
  <c r="I20" i="16"/>
  <c r="J23" i="16"/>
  <c r="J20" i="16"/>
  <c r="I25" i="16"/>
  <c r="H25" i="16" s="1"/>
  <c r="I22" i="16"/>
  <c r="H22" i="16" s="1"/>
  <c r="J25" i="16"/>
  <c r="J22" i="16"/>
  <c r="S24" i="16"/>
  <c r="S23" i="16"/>
  <c r="S22" i="16"/>
  <c r="S25" i="16"/>
  <c r="S26" i="16"/>
  <c r="G33" i="2"/>
  <c r="L10" i="2"/>
  <c r="Q21" i="16" l="1"/>
  <c r="R21" i="16" s="1"/>
  <c r="S21" i="16" s="1"/>
  <c r="H20" i="16"/>
  <c r="E20" i="16"/>
  <c r="L20" i="16" s="1"/>
  <c r="Q20" i="16"/>
  <c r="R20" i="16" s="1"/>
  <c r="S20" i="16" s="1"/>
  <c r="P20" i="16"/>
  <c r="H21" i="16"/>
  <c r="E21" i="16"/>
  <c r="L21" i="16" s="1"/>
  <c r="M18" i="2"/>
  <c r="Q18" i="2" s="1"/>
  <c r="R18" i="2" l="1"/>
  <c r="S18" i="2"/>
  <c r="T18" i="2" s="1"/>
  <c r="P25" i="16"/>
  <c r="P23" i="16"/>
  <c r="E30" i="16"/>
  <c r="P22" i="16"/>
  <c r="P21" i="16"/>
  <c r="P26" i="16"/>
  <c r="P24" i="16"/>
  <c r="X26" i="16"/>
  <c r="Y26" i="16" s="1"/>
  <c r="X25" i="16"/>
  <c r="Y25" i="16" s="1"/>
  <c r="X24" i="16"/>
  <c r="Y24" i="16" s="1"/>
  <c r="X23" i="16"/>
  <c r="Y23" i="16" s="1"/>
  <c r="X22" i="16"/>
  <c r="Y22" i="16" s="1"/>
  <c r="X21" i="16"/>
  <c r="Y21" i="16" s="1"/>
  <c r="V20" i="16"/>
  <c r="X20" i="16" s="1"/>
  <c r="Y20" i="16" s="1"/>
  <c r="E61" i="14"/>
  <c r="E57" i="14"/>
  <c r="E56" i="14"/>
  <c r="E55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Y20" i="2" s="1"/>
  <c r="AA20" i="2" s="1"/>
  <c r="AC20" i="2" s="1"/>
  <c r="E18" i="14"/>
  <c r="Y21" i="2" s="1"/>
  <c r="AA21" i="2" s="1"/>
  <c r="AC21" i="2" s="1"/>
  <c r="E17" i="14"/>
  <c r="E16" i="14"/>
  <c r="E15" i="14"/>
  <c r="E14" i="14"/>
  <c r="E13" i="14"/>
  <c r="E12" i="14"/>
  <c r="E11" i="14"/>
  <c r="Y22" i="2" s="1"/>
  <c r="AA22" i="2" s="1"/>
  <c r="AC22" i="2" s="1"/>
  <c r="E10" i="14"/>
  <c r="E9" i="14"/>
  <c r="E8" i="14"/>
  <c r="E7" i="14"/>
  <c r="E6" i="14"/>
  <c r="E5" i="14"/>
  <c r="E4" i="14"/>
  <c r="E3" i="14"/>
  <c r="Y19" i="2" s="1"/>
  <c r="AA19" i="2" s="1"/>
  <c r="AC19" i="2" s="1"/>
  <c r="E2" i="14"/>
  <c r="E29" i="16" l="1"/>
  <c r="E31" i="16" s="1"/>
  <c r="Z19" i="2"/>
  <c r="AB19" i="2" s="1"/>
  <c r="Z22" i="2"/>
  <c r="AB22" i="2" s="1"/>
  <c r="Z21" i="2"/>
  <c r="AB21" i="2" s="1"/>
  <c r="Z20" i="2"/>
  <c r="AB20" i="2" s="1"/>
  <c r="F55" i="9"/>
  <c r="I55" i="9" s="1"/>
  <c r="F29" i="9"/>
  <c r="I29" i="9" s="1"/>
  <c r="V10" i="2" l="1"/>
  <c r="J74" i="9"/>
  <c r="V11" i="2" l="1"/>
</calcChain>
</file>

<file path=xl/sharedStrings.xml><?xml version="1.0" encoding="utf-8"?>
<sst xmlns="http://schemas.openxmlformats.org/spreadsheetml/2006/main" count="2046" uniqueCount="636">
  <si>
    <t>PUNTAJE</t>
  </si>
  <si>
    <t>ESTRATO</t>
  </si>
  <si>
    <t>URBANO</t>
  </si>
  <si>
    <t>INDUSTRIAL</t>
  </si>
  <si>
    <t>RURAL</t>
  </si>
  <si>
    <t>uso</t>
  </si>
  <si>
    <t>valor_zhg_comercial</t>
  </si>
  <si>
    <t>valor_zhg_catastral</t>
  </si>
  <si>
    <t>zhg</t>
  </si>
  <si>
    <t>ÁREA TERRENO</t>
  </si>
  <si>
    <t>AVALÚO CONSTRUCCIÓN</t>
  </si>
  <si>
    <t>AVALÚO TERRENO</t>
  </si>
  <si>
    <t>USO</t>
  </si>
  <si>
    <t>VALOR M2 CONSTRUCCIÓN</t>
  </si>
  <si>
    <t>01-Residencial.Vivienda_Hasta_3_Pisos</t>
  </si>
  <si>
    <t>02-Anexo.Ramadas_Cobertizos_Caneyes</t>
  </si>
  <si>
    <t>03-Anexo.Galpones_Gallineros</t>
  </si>
  <si>
    <t>04-Anexo.Establos_Pesebreras_Caballerizas</t>
  </si>
  <si>
    <t>05-Anexo.Cocheras_Marraneras_Porquerizas</t>
  </si>
  <si>
    <t>06-Industrial.Bodega_Casa_Bomba</t>
  </si>
  <si>
    <t>07-Industrial.Industrias</t>
  </si>
  <si>
    <t>08-Anexo.Silos</t>
  </si>
  <si>
    <t>09-Anexo.Piscinas</t>
  </si>
  <si>
    <t>10-Anexo.Tanques</t>
  </si>
  <si>
    <t>11-Anexo.Beneficiaderos</t>
  </si>
  <si>
    <t>12-Institucional.Colegio_y_Universidades</t>
  </si>
  <si>
    <t>13-Institucional.Biblioteca</t>
  </si>
  <si>
    <t>14-Residencial.Garajes_Cubiertos</t>
  </si>
  <si>
    <t>16-Comercial.Bodegas_Comerciales_Grandes_Almacenes</t>
  </si>
  <si>
    <t>18-Anexo.Secaderos</t>
  </si>
  <si>
    <t>19-Institucional.Clinicas_Hospitales_Centros_Medicos</t>
  </si>
  <si>
    <t>21-Anexo.Kioscos</t>
  </si>
  <si>
    <t>23-Anexo.Albercas_Banaderas</t>
  </si>
  <si>
    <t>25-Comercial.Hoteles_en_PH</t>
  </si>
  <si>
    <t>26-Anexo.Corrales</t>
  </si>
  <si>
    <t>27-Residencial.Casa_Elbas</t>
  </si>
  <si>
    <t>28-Comercial.Comercio</t>
  </si>
  <si>
    <t>29-Institucional.Iglesia</t>
  </si>
  <si>
    <t>31-Comercial.Hoteles</t>
  </si>
  <si>
    <t>33-Comercial.Clubes_Casinos</t>
  </si>
  <si>
    <t>34-Comercial.Oficinas_Consultorios</t>
  </si>
  <si>
    <t>35-Residencial.Apartamentos_Mas_De_4_Pisos</t>
  </si>
  <si>
    <t>36-Comercial.Restaurantes</t>
  </si>
  <si>
    <t>37-Comercial.Pensiones_y_Residencias</t>
  </si>
  <si>
    <t>38-Institucional.Puestos_de_Salud</t>
  </si>
  <si>
    <t>39-Comercial.Parqueaderos</t>
  </si>
  <si>
    <t>40-Residencial.Barracas</t>
  </si>
  <si>
    <t>41-Institucional.Teatro</t>
  </si>
  <si>
    <t>42-Institucional.Aulas_de_Clases</t>
  </si>
  <si>
    <t>43-Institucional.Coliseos</t>
  </si>
  <si>
    <t>44-Institucional.Casas_de_Culto</t>
  </si>
  <si>
    <t>45-Industrial.Talleres</t>
  </si>
  <si>
    <t>46-Institucional.Jardin_Infantil_en_Casa</t>
  </si>
  <si>
    <t>49-ESTACIONES DE BOMBEROS</t>
  </si>
  <si>
    <t>51-Institucional.Carceles</t>
  </si>
  <si>
    <t>52-Institucional.Parque_Cementerio</t>
  </si>
  <si>
    <t>53-Residencial.Vivienda_Colonial</t>
  </si>
  <si>
    <t>54-Comercial.Comercio_Colonial</t>
  </si>
  <si>
    <t>55-Comercial.Oficinas_Consultorios_Coloniales</t>
  </si>
  <si>
    <t>56-Residencial.Apartamentos_En_Edificio_4_y_5_Pisos_Cartagena</t>
  </si>
  <si>
    <t>58-Comercial.Centros_Comerciales</t>
  </si>
  <si>
    <t>60-Anexo.Canchas_de_Tenis</t>
  </si>
  <si>
    <t>63-Residencial.Vivienda_Recreacional</t>
  </si>
  <si>
    <t>65-Institucional.Fuertes_y_Castillos</t>
  </si>
  <si>
    <t>70-Residencial.Vivienda_Hasta_3_Pisos_En_PH</t>
  </si>
  <si>
    <t>71-Residencial.Apartamentos_4_y_mas_pisos_en_PH</t>
  </si>
  <si>
    <t>72-Residencial.Vivienda_Recreacional_En_PH</t>
  </si>
  <si>
    <t>74-Comercial.Bodegas_Comerciales_en_PH</t>
  </si>
  <si>
    <t>75-Comercial.Comercio_en_PH</t>
  </si>
  <si>
    <t>76-Comercial.Centros_Comerciales_en_PH</t>
  </si>
  <si>
    <t>77-Comercial.Oficinas_Consultorios_en_PH</t>
  </si>
  <si>
    <t>78-Comercial.Parqueaderos_en_PH</t>
  </si>
  <si>
    <t>79-Residencial.Garajes_En_PH</t>
  </si>
  <si>
    <t>80-Industrial.Industrias_en_PH</t>
  </si>
  <si>
    <t>82-Anexo.Marquesinas_Patios_Cubiertos</t>
  </si>
  <si>
    <t>85-Anexo.Carretera</t>
  </si>
  <si>
    <t>86-Comercial.Teatro_Cinemas_en_PH</t>
  </si>
  <si>
    <t>87-Institucional.Iglesia_en_PH</t>
  </si>
  <si>
    <t>88-Comercial.Restaurantes_en_PH</t>
  </si>
  <si>
    <t>89-Comercial.Hotel_Colonial</t>
  </si>
  <si>
    <t>90-Comercial.Restaurante_Colonial</t>
  </si>
  <si>
    <t>91-Institucional.Entidad_Educativa_Colonial_Colegio_Colonial</t>
  </si>
  <si>
    <t>93-Residencial.Depositos_Lockers</t>
  </si>
  <si>
    <t>94-Residencial.Salon_Comunal</t>
  </si>
  <si>
    <t>95-Residencial.Secadero_Ropa</t>
  </si>
  <si>
    <t>96-Comercial.Parque_Diversiones</t>
  </si>
  <si>
    <t>97-Comercial.Plaza_Mercado</t>
  </si>
  <si>
    <t>98-Comercial.Teatro_Cinemas</t>
  </si>
  <si>
    <t>99-Industrial.Bodegas_Casa_Bomba_en_PH</t>
  </si>
  <si>
    <t>100-Institucional.Estadios</t>
  </si>
  <si>
    <t>101-Institucional.Instalaciones_Militares</t>
  </si>
  <si>
    <t>102-Institucional.Planetario</t>
  </si>
  <si>
    <t>103-Institucional.Plaza_de_Toros</t>
  </si>
  <si>
    <t>104-Institucional.Museos</t>
  </si>
  <si>
    <t>105-Institucional.Seminarios_Conventos</t>
  </si>
  <si>
    <t>106-Institucional.Unidad_Deportiva</t>
  </si>
  <si>
    <t>107-Institucional.Velodromo_Patinodromo</t>
  </si>
  <si>
    <t>110-Anexo.Cimientos_Estructura_Muros_y_Placa_Base</t>
  </si>
  <si>
    <t>113-Anexo.Estacion_Bombeo</t>
  </si>
  <si>
    <t>ZHG</t>
  </si>
  <si>
    <t>ÁREA CONSTRUIDA</t>
  </si>
  <si>
    <t>AVALÚO CONSTRUCCIÓN NO CONVENCIONAL</t>
  </si>
  <si>
    <t>TIPO</t>
  </si>
  <si>
    <t>RESIDENCIAL</t>
  </si>
  <si>
    <t>COMERCIAL</t>
  </si>
  <si>
    <t>INSTITUCIONAL</t>
  </si>
  <si>
    <t>OTROS</t>
  </si>
  <si>
    <t>ZONA</t>
  </si>
  <si>
    <t>CONDICIÓN</t>
  </si>
  <si>
    <t>PH</t>
  </si>
  <si>
    <t>NPH</t>
  </si>
  <si>
    <t>";</t>
  </si>
  <si>
    <t>GRUPO</t>
  </si>
  <si>
    <t>H8="</t>
  </si>
  <si>
    <t>SI(O(H8=</t>
  </si>
  <si>
    <t>SI(O(H8=49-ESTACIONES DE BOMBEROS";H8="92-AEROGENERADOR DE ENERGÍA");"OTROS";"")</t>
  </si>
  <si>
    <t>92-AEROGENERADOR DE ENERGÍA</t>
  </si>
  <si>
    <t>USO_1</t>
  </si>
  <si>
    <t>VALOR M²</t>
  </si>
  <si>
    <t>VALOR M² CAT</t>
  </si>
  <si>
    <t>CONCATE</t>
  </si>
  <si>
    <t>02-Anexo.Ramadas_Cobertizos_Caneyes40</t>
  </si>
  <si>
    <t>02-Anexo.Ramadas_Cobertizos_Caneyes60</t>
  </si>
  <si>
    <t>02-Anexo.Ramadas_Cobertizos_Caneyes80</t>
  </si>
  <si>
    <t>02-Anexo.Ramadas_Cobertizos_Caneyes90</t>
  </si>
  <si>
    <t>03-Anexo.Galpones_Gallineros20</t>
  </si>
  <si>
    <t>03-Anexo.Galpones_Gallineros40</t>
  </si>
  <si>
    <t>03-Anexo.Galpones_Gallineros60</t>
  </si>
  <si>
    <t>03-Anexo.Galpones_Gallineros80</t>
  </si>
  <si>
    <t>04-Anexo.Establos_Pesebreras_Caballerizas20</t>
  </si>
  <si>
    <t>04-Anexo.Establos_Pesebreras_Caballerizas40</t>
  </si>
  <si>
    <t>04-Anexo.Establos_Pesebreras_Caballerizas60</t>
  </si>
  <si>
    <t>04-Anexo.Establos_Pesebreras_Caballerizas80</t>
  </si>
  <si>
    <t>05-Anexo.Cocheras_Marraneras_Porquerizas20</t>
  </si>
  <si>
    <t>05-Anexo.Cocheras_Marraneras_Porquerizas40</t>
  </si>
  <si>
    <t>05-Anexo.Cocheras_Marraneras_Porquerizas60</t>
  </si>
  <si>
    <t>05-Anexo.Cocheras_Marraneras_Porquerizas80</t>
  </si>
  <si>
    <t>08-Anexo.Silos60</t>
  </si>
  <si>
    <t>08-Anexo.Silos80</t>
  </si>
  <si>
    <t>09-Anexo.Piscinas40</t>
  </si>
  <si>
    <t>09-Anexo.Piscinas50</t>
  </si>
  <si>
    <t>09-Anexo.Piscinas60</t>
  </si>
  <si>
    <t>09-Anexo.Piscinas80</t>
  </si>
  <si>
    <t>10-Anexo.Tanques20</t>
  </si>
  <si>
    <t>10-Anexo.Tanques40</t>
  </si>
  <si>
    <t>10-Anexo.Tanques60</t>
  </si>
  <si>
    <t>10-Anexo.Tanques80</t>
  </si>
  <si>
    <t>110-Anexo.Cimientos_Estructura_Muros_y_Placa_Base40</t>
  </si>
  <si>
    <t>110-Anexo.Cimientos_Estructura_Muros_y_Placa_Base60</t>
  </si>
  <si>
    <t>110-Anexo.Cimientos_Estructura_Muros_y_Placa_Base80</t>
  </si>
  <si>
    <t>113-Anexo.Estacion_Bombeo20</t>
  </si>
  <si>
    <t>113-Anexo.Estacion_Bombeo40</t>
  </si>
  <si>
    <t>113-Anexo.Estacion_Bombeo60</t>
  </si>
  <si>
    <t>113-Anexo.Estacion_Bombeo80</t>
  </si>
  <si>
    <t>11-Anexo.Beneficiaderos40</t>
  </si>
  <si>
    <t>11-Anexo.Beneficiaderos60</t>
  </si>
  <si>
    <t>11-Anexo.Beneficiaderos80</t>
  </si>
  <si>
    <t>18-Anexo.Secaderos20</t>
  </si>
  <si>
    <t>18-Anexo.Secaderos40</t>
  </si>
  <si>
    <t>18-Anexo.Secaderos60</t>
  </si>
  <si>
    <t>18-Anexo.Secaderos80</t>
  </si>
  <si>
    <t>21-Anexo.Kioscos20</t>
  </si>
  <si>
    <t>21-Anexo.Kioscos40</t>
  </si>
  <si>
    <t>21-Anexo.Kioscos60</t>
  </si>
  <si>
    <t>21-Anexo.Kioscos80</t>
  </si>
  <si>
    <t>23-Anexo.Albercas_Banaderas40</t>
  </si>
  <si>
    <t>23-Anexo.Albercas_Banaderas60</t>
  </si>
  <si>
    <t>23-Anexo.Albercas_Banaderas80</t>
  </si>
  <si>
    <t>26-Anexo.Corrales20</t>
  </si>
  <si>
    <t>26-Anexo.Corrales40</t>
  </si>
  <si>
    <t>26-Anexo.Corrales60</t>
  </si>
  <si>
    <t>26-Anexo.Corrales80</t>
  </si>
  <si>
    <t>82-Anexo.Marquesinas_Patios_Cubiertos20</t>
  </si>
  <si>
    <t>82-Anexo.Marquesinas_Patios_Cubiertos40</t>
  </si>
  <si>
    <t>82-Anexo.Marquesinas_Patios_Cubiertos60</t>
  </si>
  <si>
    <t>82-Anexo.Marquesinas_Patios_Cubiertos80</t>
  </si>
  <si>
    <t>85-Anexo.Carretera1</t>
  </si>
  <si>
    <t>NPN</t>
  </si>
  <si>
    <t>NP</t>
  </si>
  <si>
    <t>VM2_ESPECIAL</t>
  </si>
  <si>
    <t>OBSERVACION</t>
  </si>
  <si>
    <t>761470103000000820901900000167</t>
  </si>
  <si>
    <t>76147010300820167901</t>
  </si>
  <si>
    <t>NUESTRO CARTAGO</t>
  </si>
  <si>
    <t>761470103000000820901900000168</t>
  </si>
  <si>
    <t>76147010300820168901</t>
  </si>
  <si>
    <t>761470103000000820901900000169</t>
  </si>
  <si>
    <t>76147010300820169901</t>
  </si>
  <si>
    <t>761470103000000820901900000170</t>
  </si>
  <si>
    <t>76147010300820170901</t>
  </si>
  <si>
    <t>761470103000000820901900000171</t>
  </si>
  <si>
    <t>76147010300820171901</t>
  </si>
  <si>
    <t>761470103000000820901900000172</t>
  </si>
  <si>
    <t>76147010300820172901</t>
  </si>
  <si>
    <t>761470103000000820901900000173</t>
  </si>
  <si>
    <t>76147010300820173901</t>
  </si>
  <si>
    <t>761470103000000820901900000174</t>
  </si>
  <si>
    <t>76147010300820174901</t>
  </si>
  <si>
    <t>761470103000000820901900000175</t>
  </si>
  <si>
    <t>76147010300820175901</t>
  </si>
  <si>
    <t>761470103000000820901900000176</t>
  </si>
  <si>
    <t>76147010300820176901</t>
  </si>
  <si>
    <t>761470103000000820901900000177</t>
  </si>
  <si>
    <t>76147010300820177901</t>
  </si>
  <si>
    <t>761470103000000820901900000178</t>
  </si>
  <si>
    <t>76147010300820178901</t>
  </si>
  <si>
    <t>761470103000000820901900000179</t>
  </si>
  <si>
    <t>76147010300820179901</t>
  </si>
  <si>
    <t>761470103000000820901900000180</t>
  </si>
  <si>
    <t>76147010300820180901</t>
  </si>
  <si>
    <t>761470103000000820901900000181</t>
  </si>
  <si>
    <t>76147010300820181901</t>
  </si>
  <si>
    <t>761470103000000820901900000182</t>
  </si>
  <si>
    <t>76147010300820182901</t>
  </si>
  <si>
    <t>761470103000000820901900000183</t>
  </si>
  <si>
    <t>76147010300820183901</t>
  </si>
  <si>
    <t>761470103000000820901900000184</t>
  </si>
  <si>
    <t>76147010300820184901</t>
  </si>
  <si>
    <t>761470103000000820901900000003</t>
  </si>
  <si>
    <t>76147010300820003901</t>
  </si>
  <si>
    <t>761470103000000820901900000185</t>
  </si>
  <si>
    <t>76147010300820185901</t>
  </si>
  <si>
    <t>761470103000000820901900000186</t>
  </si>
  <si>
    <t>76147010300820186901</t>
  </si>
  <si>
    <t>761470103000000820901900000031</t>
  </si>
  <si>
    <t>76147010300820031901</t>
  </si>
  <si>
    <t>761470103000000820901900000187</t>
  </si>
  <si>
    <t>76147010300820187901</t>
  </si>
  <si>
    <t>761470103000000820901900000188</t>
  </si>
  <si>
    <t>76147010300820188901</t>
  </si>
  <si>
    <t>761470103000000820901900000032</t>
  </si>
  <si>
    <t>76147010300820032901</t>
  </si>
  <si>
    <t>761470103000000820901900000189</t>
  </si>
  <si>
    <t>76147010300820189901</t>
  </si>
  <si>
    <t>761470103000000820901900000190</t>
  </si>
  <si>
    <t>76147010300820190901</t>
  </si>
  <si>
    <t>761470103000000820901900000033</t>
  </si>
  <si>
    <t>76147010300820033901</t>
  </si>
  <si>
    <t>761470103000000820901900000191</t>
  </si>
  <si>
    <t>76147010300820191901</t>
  </si>
  <si>
    <t>761470103000000820901900000192</t>
  </si>
  <si>
    <t>76147010300820192901</t>
  </si>
  <si>
    <t>761470103000000820901900000034</t>
  </si>
  <si>
    <t>76147010300820034901</t>
  </si>
  <si>
    <t>761470103000000820901900000193</t>
  </si>
  <si>
    <t>76147010300820193901</t>
  </si>
  <si>
    <t>761470103000000820901900000035</t>
  </si>
  <si>
    <t>76147010300820035901</t>
  </si>
  <si>
    <t>761470103000000820901900000036</t>
  </si>
  <si>
    <t>76147010300820036901</t>
  </si>
  <si>
    <t>761470103000000820901900000037</t>
  </si>
  <si>
    <t>76147010300820037901</t>
  </si>
  <si>
    <t>761470103000000820901900000038</t>
  </si>
  <si>
    <t>76147010300820038901</t>
  </si>
  <si>
    <t>761470103000000820901900000039</t>
  </si>
  <si>
    <t>76147010300820039901</t>
  </si>
  <si>
    <t>761470103000000820901900000040</t>
  </si>
  <si>
    <t>76147010300820040901</t>
  </si>
  <si>
    <t>761470103000000820901900000041</t>
  </si>
  <si>
    <t>76147010300820041901</t>
  </si>
  <si>
    <t>761470103000000820901900000042</t>
  </si>
  <si>
    <t>76147010300820042901</t>
  </si>
  <si>
    <t>761470103000000820901900000043</t>
  </si>
  <si>
    <t>76147010300820043901</t>
  </si>
  <si>
    <t>761470103000000820901900000044</t>
  </si>
  <si>
    <t>76147010300820044901</t>
  </si>
  <si>
    <t>761470103000000820901900000045</t>
  </si>
  <si>
    <t>76147010300820045901</t>
  </si>
  <si>
    <t>761470103000000820901900000046</t>
  </si>
  <si>
    <t>76147010300820046901</t>
  </si>
  <si>
    <t>761470103000000820901900000047</t>
  </si>
  <si>
    <t>76147010300820047901</t>
  </si>
  <si>
    <t>761470103000000820901900000048</t>
  </si>
  <si>
    <t>76147010300820048901</t>
  </si>
  <si>
    <t>761470103000000820901900000049</t>
  </si>
  <si>
    <t>76147010300820049901</t>
  </si>
  <si>
    <t>761470103000000820901900000050</t>
  </si>
  <si>
    <t>76147010300820050901</t>
  </si>
  <si>
    <t>761470103000000820901900000051</t>
  </si>
  <si>
    <t>76147010300820051901</t>
  </si>
  <si>
    <t>761470103000000820901900000052</t>
  </si>
  <si>
    <t>76147010300820052901</t>
  </si>
  <si>
    <t>761470103000000820901900000053</t>
  </si>
  <si>
    <t>76147010300820053901</t>
  </si>
  <si>
    <t>761470103000000820901900000054</t>
  </si>
  <si>
    <t>76147010300820054901</t>
  </si>
  <si>
    <t>761470103000000820901900000055</t>
  </si>
  <si>
    <t>76147010300820055901</t>
  </si>
  <si>
    <t>761470103000000820901900000056</t>
  </si>
  <si>
    <t>76147010300820056901</t>
  </si>
  <si>
    <t>761470103000000820901900000057</t>
  </si>
  <si>
    <t>76147010300820057901</t>
  </si>
  <si>
    <t>761470103000000820901900000058</t>
  </si>
  <si>
    <t>76147010300820058901</t>
  </si>
  <si>
    <t>761470103000000820901900000059</t>
  </si>
  <si>
    <t>76147010300820059901</t>
  </si>
  <si>
    <t>761470103000000820901900000060</t>
  </si>
  <si>
    <t>76147010300820060901</t>
  </si>
  <si>
    <t>761470103000000820901900000061</t>
  </si>
  <si>
    <t>76147010300820061901</t>
  </si>
  <si>
    <t>761470103000000820901900000062</t>
  </si>
  <si>
    <t>76147010300820062901</t>
  </si>
  <si>
    <t>761470103000000820901900000063</t>
  </si>
  <si>
    <t>76147010300820063901</t>
  </si>
  <si>
    <t>761470103000000820901900000064</t>
  </si>
  <si>
    <t>76147010300820064901</t>
  </si>
  <si>
    <t>761470103000000820901900000065</t>
  </si>
  <si>
    <t>76147010300820065901</t>
  </si>
  <si>
    <t>761470103000000820901900000066</t>
  </si>
  <si>
    <t>76147010300820066901</t>
  </si>
  <si>
    <t>761470103000000820901900000067</t>
  </si>
  <si>
    <t>76147010300820067901</t>
  </si>
  <si>
    <t>761470103000000820901900000068</t>
  </si>
  <si>
    <t>76147010300820068901</t>
  </si>
  <si>
    <t>761470103000000820901900000069</t>
  </si>
  <si>
    <t>76147010300820069901</t>
  </si>
  <si>
    <t>761470103000000820901900000070</t>
  </si>
  <si>
    <t>76147010300820070901</t>
  </si>
  <si>
    <t>761470103000000820901900000071</t>
  </si>
  <si>
    <t>76147010300820071901</t>
  </si>
  <si>
    <t>761470103000000820901900000072</t>
  </si>
  <si>
    <t>76147010300820072901</t>
  </si>
  <si>
    <t>761470103000000820901900000073</t>
  </si>
  <si>
    <t>76147010300820073901</t>
  </si>
  <si>
    <t>761470103000000820901900000074</t>
  </si>
  <si>
    <t>76147010300820074901</t>
  </si>
  <si>
    <t>761470103000000820901900000075</t>
  </si>
  <si>
    <t>76147010300820075901</t>
  </si>
  <si>
    <t>761470103000000820901900000076</t>
  </si>
  <si>
    <t>76147010300820076901</t>
  </si>
  <si>
    <t>761470103000000820901900000077</t>
  </si>
  <si>
    <t>76147010300820077901</t>
  </si>
  <si>
    <t>761470103000000820901900000078</t>
  </si>
  <si>
    <t>76147010300820078901</t>
  </si>
  <si>
    <t>761470103000000820901900000079</t>
  </si>
  <si>
    <t>76147010300820079901</t>
  </si>
  <si>
    <t>761470103000000820901900000080</t>
  </si>
  <si>
    <t>76147010300820080901</t>
  </si>
  <si>
    <t>761470103000000820901900000081</t>
  </si>
  <si>
    <t>76147010300820081901</t>
  </si>
  <si>
    <t>761470103000000820901900000082</t>
  </si>
  <si>
    <t>76147010300820082901</t>
  </si>
  <si>
    <t>761470103000000820901900000083</t>
  </si>
  <si>
    <t>76147010300820083901</t>
  </si>
  <si>
    <t>761470103000000820901900000084</t>
  </si>
  <si>
    <t>76147010300820084901</t>
  </si>
  <si>
    <t>761470103000000820901900000085</t>
  </si>
  <si>
    <t>76147010300820085901</t>
  </si>
  <si>
    <t>761470103000000820901900000086</t>
  </si>
  <si>
    <t>76147010300820086901</t>
  </si>
  <si>
    <t>761470103000000820901900000087</t>
  </si>
  <si>
    <t>76147010300820087901</t>
  </si>
  <si>
    <t>761470103000000820901900000088</t>
  </si>
  <si>
    <t>76147010300820088901</t>
  </si>
  <si>
    <t>761470103000000820901900000089</t>
  </si>
  <si>
    <t>76147010300820089901</t>
  </si>
  <si>
    <t>761470103000000820901900000090</t>
  </si>
  <si>
    <t>76147010300820090901</t>
  </si>
  <si>
    <t>761470103000000820901900000091</t>
  </si>
  <si>
    <t>76147010300820091901</t>
  </si>
  <si>
    <t>761470103000000820901900000092</t>
  </si>
  <si>
    <t>76147010300820092901</t>
  </si>
  <si>
    <t>761470103000000820901900000093</t>
  </si>
  <si>
    <t>76147010300820093901</t>
  </si>
  <si>
    <t>761470103000000820901900000094</t>
  </si>
  <si>
    <t>76147010300820094901</t>
  </si>
  <si>
    <t>761470103000000820901900000095</t>
  </si>
  <si>
    <t>76147010300820095901</t>
  </si>
  <si>
    <t>761470103000000820901900000096</t>
  </si>
  <si>
    <t>76147010300820096901</t>
  </si>
  <si>
    <t>761470103000000820901900000097</t>
  </si>
  <si>
    <t>76147010300820097901</t>
  </si>
  <si>
    <t>761470103000000820901900000098</t>
  </si>
  <si>
    <t>76147010300820098901</t>
  </si>
  <si>
    <t>761470103000000820901900000099</t>
  </si>
  <si>
    <t>76147010300820099901</t>
  </si>
  <si>
    <t>761470103000000820901900000100</t>
  </si>
  <si>
    <t>76147010300820100901</t>
  </si>
  <si>
    <t>761470103000000820901900000101</t>
  </si>
  <si>
    <t>76147010300820101901</t>
  </si>
  <si>
    <t>761470103000000820901900000102</t>
  </si>
  <si>
    <t>76147010300820102901</t>
  </si>
  <si>
    <t>761470103000000820901900000103</t>
  </si>
  <si>
    <t>76147010300820103901</t>
  </si>
  <si>
    <t>761470103000000820901900000104</t>
  </si>
  <si>
    <t>76147010300820104901</t>
  </si>
  <si>
    <t>761470103000000820901900000105</t>
  </si>
  <si>
    <t>76147010300820105901</t>
  </si>
  <si>
    <t>761470103000000820901900000106</t>
  </si>
  <si>
    <t>76147010300820106901</t>
  </si>
  <si>
    <t>761470103000000820901900000107</t>
  </si>
  <si>
    <t>76147010300820107901</t>
  </si>
  <si>
    <t>761470103000000820901900000108</t>
  </si>
  <si>
    <t>76147010300820108901</t>
  </si>
  <si>
    <t>761470103000000820901900000109</t>
  </si>
  <si>
    <t>76147010300820109901</t>
  </si>
  <si>
    <t>761470103000000820901900000110</t>
  </si>
  <si>
    <t>76147010300820110901</t>
  </si>
  <si>
    <t>761470103000000820901900000111</t>
  </si>
  <si>
    <t>76147010300820111901</t>
  </si>
  <si>
    <t>761470103000000820901900000112</t>
  </si>
  <si>
    <t>76147010300820112901</t>
  </si>
  <si>
    <t>761470103000000820901900000113</t>
  </si>
  <si>
    <t>76147010300820113901</t>
  </si>
  <si>
    <t>761470103000000820901900000114</t>
  </si>
  <si>
    <t>76147010300820114901</t>
  </si>
  <si>
    <t>761470103000000820901900000115</t>
  </si>
  <si>
    <t>76147010300820115901</t>
  </si>
  <si>
    <t>761470103000000820901900000118</t>
  </si>
  <si>
    <t>76147010300820118901</t>
  </si>
  <si>
    <t>761470103000000820901900000119</t>
  </si>
  <si>
    <t>76147010300820119901</t>
  </si>
  <si>
    <t>761470103000000820901900000120</t>
  </si>
  <si>
    <t>76147010300820120901</t>
  </si>
  <si>
    <t>761470103000000820901900000121</t>
  </si>
  <si>
    <t>76147010300820121901</t>
  </si>
  <si>
    <t>761470103000000820901900000122</t>
  </si>
  <si>
    <t>76147010300820122901</t>
  </si>
  <si>
    <t>761470103000000820901900000123</t>
  </si>
  <si>
    <t>76147010300820123901</t>
  </si>
  <si>
    <t>761470103000000820901900000124</t>
  </si>
  <si>
    <t>76147010300820124901</t>
  </si>
  <si>
    <t>761470103000000820901900000125</t>
  </si>
  <si>
    <t>76147010300820125901</t>
  </si>
  <si>
    <t>761470103000000820901900000126</t>
  </si>
  <si>
    <t>76147010300820126901</t>
  </si>
  <si>
    <t>761470103000000820901900000127</t>
  </si>
  <si>
    <t>76147010300820127901</t>
  </si>
  <si>
    <t>761470103000000820901900000128</t>
  </si>
  <si>
    <t>76147010300820128901</t>
  </si>
  <si>
    <t>761470103000000820901900000129</t>
  </si>
  <si>
    <t>76147010300820129901</t>
  </si>
  <si>
    <t>761470103000000820901900000130</t>
  </si>
  <si>
    <t>76147010300820130901</t>
  </si>
  <si>
    <t>761470103000000820901900000131</t>
  </si>
  <si>
    <t>76147010300820131901</t>
  </si>
  <si>
    <t>761470103000000820901900000132</t>
  </si>
  <si>
    <t>76147010300820132901</t>
  </si>
  <si>
    <t>761470103000000820901900000133</t>
  </si>
  <si>
    <t>76147010300820133901</t>
  </si>
  <si>
    <t>761470103000000820901900000134</t>
  </si>
  <si>
    <t>76147010300820134901</t>
  </si>
  <si>
    <t>761470103000000820901900000135</t>
  </si>
  <si>
    <t>76147010300820135901</t>
  </si>
  <si>
    <t>761470103000000820901900000136</t>
  </si>
  <si>
    <t>76147010300820136901</t>
  </si>
  <si>
    <t>761470103000000820901900000137</t>
  </si>
  <si>
    <t>76147010300820137901</t>
  </si>
  <si>
    <t>761470103000000820901900000138</t>
  </si>
  <si>
    <t>76147010300820138901</t>
  </si>
  <si>
    <t>761470103000000820901900000139</t>
  </si>
  <si>
    <t>76147010300820139901</t>
  </si>
  <si>
    <t>761470103000000820901900000140</t>
  </si>
  <si>
    <t>76147010300820140901</t>
  </si>
  <si>
    <t>761470103000000820901900000141</t>
  </si>
  <si>
    <t>76147010300820141901</t>
  </si>
  <si>
    <t>761470103000000820901900000142</t>
  </si>
  <si>
    <t>76147010300820142901</t>
  </si>
  <si>
    <t>761470103000000820901900000143</t>
  </si>
  <si>
    <t>76147010300820143901</t>
  </si>
  <si>
    <t>761470103000000820901900000144</t>
  </si>
  <si>
    <t>76147010300820144901</t>
  </si>
  <si>
    <t>761470103000000820901900000145</t>
  </si>
  <si>
    <t>76147010300820145901</t>
  </si>
  <si>
    <t>761470103000000820901900000146</t>
  </si>
  <si>
    <t>76147010300820146901</t>
  </si>
  <si>
    <t>761470103000000820901900000147</t>
  </si>
  <si>
    <t>76147010300820147901</t>
  </si>
  <si>
    <t>761470103000000820901900000148</t>
  </si>
  <si>
    <t>76147010300820148901</t>
  </si>
  <si>
    <t>761470103000000820901900000149</t>
  </si>
  <si>
    <t>76147010300820149901</t>
  </si>
  <si>
    <t>761470103000000820901900000150</t>
  </si>
  <si>
    <t>76147010300820150901</t>
  </si>
  <si>
    <t>761470103000000820901900000151</t>
  </si>
  <si>
    <t>76147010300820151901</t>
  </si>
  <si>
    <t>761470103000000820901900000152</t>
  </si>
  <si>
    <t>76147010300820152901</t>
  </si>
  <si>
    <t>761470103000000820901900000153</t>
  </si>
  <si>
    <t>76147010300820153901</t>
  </si>
  <si>
    <t>761470103000000820901900000154</t>
  </si>
  <si>
    <t>76147010300820154901</t>
  </si>
  <si>
    <t>761470103000000820901900000155</t>
  </si>
  <si>
    <t>76147010300820155901</t>
  </si>
  <si>
    <t>761470103000000820901900000156</t>
  </si>
  <si>
    <t>76147010300820156901</t>
  </si>
  <si>
    <t>761470103000000820901900000157</t>
  </si>
  <si>
    <t>76147010300820157901</t>
  </si>
  <si>
    <t>761470103000000820901900000158</t>
  </si>
  <si>
    <t>76147010300820158901</t>
  </si>
  <si>
    <t>761470103000000820901900000159</t>
  </si>
  <si>
    <t>76147010300820159901</t>
  </si>
  <si>
    <t>761470103000000820901900000160</t>
  </si>
  <si>
    <t>76147010300820160901</t>
  </si>
  <si>
    <t>761470103000000820901900000161</t>
  </si>
  <si>
    <t>76147010300820161901</t>
  </si>
  <si>
    <t>761470103000000820901900000162</t>
  </si>
  <si>
    <t>76147010300820162901</t>
  </si>
  <si>
    <t>761470103000000820901900000163</t>
  </si>
  <si>
    <t>76147010300820163901</t>
  </si>
  <si>
    <t>761470103000000820901900000164</t>
  </si>
  <si>
    <t>76147010300820164901</t>
  </si>
  <si>
    <t>761470103000000820901900000165</t>
  </si>
  <si>
    <t>76147010300820165901</t>
  </si>
  <si>
    <t>761470103000000820901900000166</t>
  </si>
  <si>
    <t>76147010300820166901</t>
  </si>
  <si>
    <t>761470103000000820901900000194</t>
  </si>
  <si>
    <t>76147010300820194901</t>
  </si>
  <si>
    <t>761470103000000820901900000195</t>
  </si>
  <si>
    <t>76147010300820195901</t>
  </si>
  <si>
    <t>761470103000000820901900000196</t>
  </si>
  <si>
    <t>76147010300820196901</t>
  </si>
  <si>
    <t>761470103000000820901900000197</t>
  </si>
  <si>
    <t>76147010300820197901</t>
  </si>
  <si>
    <t>761470103000000820901900000198</t>
  </si>
  <si>
    <t>76147010300820198901</t>
  </si>
  <si>
    <t>761470103000000820901900000199</t>
  </si>
  <si>
    <t>76147010300820199901</t>
  </si>
  <si>
    <t>761470103000000820901900000200</t>
  </si>
  <si>
    <t>76147010300820200901</t>
  </si>
  <si>
    <t>761470101000002400001000000000</t>
  </si>
  <si>
    <t>76147010102400001000</t>
  </si>
  <si>
    <t>761470101000002410001000000000</t>
  </si>
  <si>
    <t>761470103000011150004000000000</t>
  </si>
  <si>
    <t>76147010311150004000</t>
  </si>
  <si>
    <t>761470103000001440053000000000</t>
  </si>
  <si>
    <t>76147010301440053000</t>
  </si>
  <si>
    <t>761470001000000020020000000000</t>
  </si>
  <si>
    <t>76147000100020020000</t>
  </si>
  <si>
    <t>761470101000000470005000000000</t>
  </si>
  <si>
    <t>76147010100470005000</t>
  </si>
  <si>
    <t>761470101000001240002000000000</t>
  </si>
  <si>
    <t>76147010101240002000</t>
  </si>
  <si>
    <t>761470103000001510001000000000</t>
  </si>
  <si>
    <t>76147010301510001000</t>
  </si>
  <si>
    <t>761470104000000170025000000000</t>
  </si>
  <si>
    <t>76147010400170025000</t>
  </si>
  <si>
    <t>761470101000003620001000000000</t>
  </si>
  <si>
    <t>76147010103620001000</t>
  </si>
  <si>
    <t>761470102000001170067000000000</t>
  </si>
  <si>
    <t>76147010201170067000</t>
  </si>
  <si>
    <t>761470101000001010011000000000</t>
  </si>
  <si>
    <t>76147010101010011000</t>
  </si>
  <si>
    <t>761470102000010420045000000000</t>
  </si>
  <si>
    <t>76147010210420045000</t>
  </si>
  <si>
    <t>761470101000003670083000000000</t>
  </si>
  <si>
    <t>76147010103670083000</t>
  </si>
  <si>
    <t>761470101000001230001000000000</t>
  </si>
  <si>
    <t>76147010101230001000</t>
  </si>
  <si>
    <t>761470102000001310057000000000</t>
  </si>
  <si>
    <t>76147010201310057000</t>
  </si>
  <si>
    <t>761470102000003790034000000000</t>
  </si>
  <si>
    <t>76147010203790034000</t>
  </si>
  <si>
    <t>761470104000000430004000000000</t>
  </si>
  <si>
    <t>76147010400430004000</t>
  </si>
  <si>
    <t>ANEXOS</t>
  </si>
  <si>
    <t>Etiquetas de fila</t>
  </si>
  <si>
    <t>Cuenta de NPN</t>
  </si>
  <si>
    <t>NPN_N</t>
  </si>
  <si>
    <t>CONSULTAR CON ESTADÍSTICA</t>
  </si>
  <si>
    <t>DIGITE EL NPN DEL PREDIO</t>
  </si>
  <si>
    <t>GRUPO_ANEX</t>
  </si>
  <si>
    <r>
      <t xml:space="preserve">   </t>
    </r>
    <r>
      <rPr>
        <b/>
        <sz val="16"/>
        <color theme="1"/>
        <rFont val="Calibri"/>
        <family val="2"/>
      </rPr>
      <t xml:space="preserve">→      </t>
    </r>
    <r>
      <rPr>
        <b/>
        <sz val="16"/>
        <color theme="1"/>
        <rFont val="Calibri"/>
        <family val="2"/>
        <scheme val="minor"/>
      </rPr>
      <t>Ha</t>
    </r>
  </si>
  <si>
    <t>CONSULTA SI EL PREDIO TIENE AVALÚO ESPECIAL</t>
  </si>
  <si>
    <t>ÁREA CONSTRUIDA M2</t>
  </si>
  <si>
    <t>Des</t>
  </si>
  <si>
    <t>ES AVALÚO ESPECIAL, CONTINUE ABAJO</t>
  </si>
  <si>
    <t>60-Anexo.Canchas_de_Tenis10</t>
  </si>
  <si>
    <t>60-Anexo.Canchas_de_Tenis20</t>
  </si>
  <si>
    <t>85-Anexo.Carretera60</t>
  </si>
  <si>
    <t>85-Anexo.Carretera40</t>
  </si>
  <si>
    <t xml:space="preserve">ÁREA TERRENO M2 </t>
  </si>
  <si>
    <t>ÁREA TERRENO M2</t>
  </si>
  <si>
    <t>AVALÚO CONSTRUCCIÓN CONVENCIONAL</t>
  </si>
  <si>
    <t>M2</t>
  </si>
  <si>
    <t>CONVERTIR</t>
  </si>
  <si>
    <t>AVALÚO CONSTRUCCIONES CONVENCIONALES Y NO CONVENCIONALES</t>
  </si>
  <si>
    <t>VM2_ESPECIAL_COM</t>
  </si>
  <si>
    <t>AÑO</t>
  </si>
  <si>
    <t>Año</t>
  </si>
  <si>
    <t>AVALÚO TERRENO M2 2022</t>
  </si>
  <si>
    <t>AVALÚO CONSTRUCCIÓN 2022</t>
  </si>
  <si>
    <t>AVALÚO TERRENO 2022</t>
  </si>
  <si>
    <t>AVALÚO TERRENO 2023</t>
  </si>
  <si>
    <t>VALOR M2 CONSTRUCCIÓN 2022</t>
  </si>
  <si>
    <t>VALOR M2 CONSTRUCCIÓN_2022</t>
  </si>
  <si>
    <t>ZHF</t>
  </si>
  <si>
    <t>VIGENCIA</t>
  </si>
  <si>
    <t>Nota: Para cálcular las vigencias del 2021 hacia atrás se debe emplear la herramienta de todos los municipios</t>
  </si>
  <si>
    <t>ELIJA DESTINO</t>
  </si>
  <si>
    <t>AGROPECUARIO</t>
  </si>
  <si>
    <t>NO AGROPECUARIO</t>
  </si>
  <si>
    <t>DESTINO</t>
  </si>
  <si>
    <t>LLAVE</t>
  </si>
  <si>
    <t>INCREMENTO 2023</t>
  </si>
  <si>
    <t>INCREMENTO 2024</t>
  </si>
  <si>
    <t>ÁREA CONSTRUIDA ANEX M2</t>
  </si>
  <si>
    <t>VALOR CONSTRUCCIÓN 2022</t>
  </si>
  <si>
    <t>VALOR M2 TERRENO 2022</t>
  </si>
  <si>
    <t>VALOR M2 CONST 2022</t>
  </si>
  <si>
    <t>AVALÚO CONST 2022</t>
  </si>
  <si>
    <t>AVALÚO CONST 2023</t>
  </si>
  <si>
    <t>id_construccion</t>
  </si>
  <si>
    <t>npn</t>
  </si>
  <si>
    <t>ID_CONST</t>
  </si>
  <si>
    <t>np</t>
  </si>
  <si>
    <t>VM2_ESPECIAL_CATASTRAL</t>
  </si>
  <si>
    <t>USO_ESPECIAL</t>
  </si>
  <si>
    <t>IDENTIFICADOR</t>
  </si>
  <si>
    <t>N. PREDIOS</t>
  </si>
  <si>
    <t>N. PREDIOS_T</t>
  </si>
  <si>
    <t>ESPECIAL</t>
  </si>
  <si>
    <t>Anexo.Pozos</t>
  </si>
  <si>
    <t>A1</t>
  </si>
  <si>
    <t>ANEXO</t>
  </si>
  <si>
    <t>Anexo.Ramadas_Cobertizos_Caneyes</t>
  </si>
  <si>
    <t>A02</t>
  </si>
  <si>
    <t>Institucional.Coliseos</t>
  </si>
  <si>
    <t>A2</t>
  </si>
  <si>
    <t>Comercial.Centros_Comerciales</t>
  </si>
  <si>
    <t>Anexo.Canchas_de_Tenis</t>
  </si>
  <si>
    <t>Anexo.Toboganes</t>
  </si>
  <si>
    <t>A4</t>
  </si>
  <si>
    <t>A</t>
  </si>
  <si>
    <t>Anexo.Contenedor</t>
  </si>
  <si>
    <t>Comercial.Clubes_Casinos</t>
  </si>
  <si>
    <t>ESPECIAL_A1</t>
  </si>
  <si>
    <t>Institucional.Estadios</t>
  </si>
  <si>
    <t>ESPECIAL_A2</t>
  </si>
  <si>
    <t>ID CONSTRUCCIÓN</t>
  </si>
  <si>
    <t xml:space="preserve"> </t>
  </si>
  <si>
    <t>INCREMENTO 2025</t>
  </si>
  <si>
    <t>Actualización Catastral</t>
  </si>
  <si>
    <t>Incemento Incremento Decreto 2653 de 2022</t>
  </si>
  <si>
    <t>Incremento Decreto 2311 de 2023</t>
  </si>
  <si>
    <t>Incremento Decreto 1609 de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</si>
</sst>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0.00000000000"/>
    <numFmt numFmtId="166" formatCode="0.00000000"/>
    <numFmt numFmtId="167" formatCode="_-* #,##0.0000_-;\-* #,##0.0000_-;_-* &quot;-&quot;??_-;_-@_-"/>
    <numFmt numFmtId="168" formatCode="0.0000"/>
    <numFmt numFmtId="172" formatCode="0.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FF0000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sz val="1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BF030"/>
        <bgColor indexed="64"/>
      </patternFill>
    </fill>
    <fill>
      <patternFill patternType="solid">
        <fgColor rgb="FFAEED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8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  <xf numFmtId="0" fontId="4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7" fillId="0" borderId="0"/>
    <xf numFmtId="43" fontId="1" fillId="0" borderId="0" applyFont="0" applyFill="0" applyBorder="0" applyAlignment="0" applyProtection="0"/>
    <xf numFmtId="0" fontId="1" fillId="0" borderId="0"/>
    <xf numFmtId="0" fontId="4" fillId="0" borderId="0"/>
  </cellStyleXfs>
  <cellXfs count="214">
    <xf numFmtId="0" fontId="0" fillId="0" borderId="0" xfId="0"/>
    <xf numFmtId="0" fontId="0" fillId="0" borderId="1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49" fontId="4" fillId="0" borderId="0" xfId="4" applyNumberFormat="1" applyAlignment="1">
      <alignment horizontal="center" vertical="center"/>
    </xf>
    <xf numFmtId="0" fontId="5" fillId="4" borderId="1" xfId="6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center"/>
    </xf>
    <xf numFmtId="0" fontId="2" fillId="6" borderId="6" xfId="0" applyFont="1" applyFill="1" applyBorder="1"/>
    <xf numFmtId="0" fontId="0" fillId="2" borderId="0" xfId="0" applyFill="1" applyProtection="1">
      <protection locked="0"/>
    </xf>
    <xf numFmtId="0" fontId="0" fillId="0" borderId="1" xfId="1" applyNumberFormat="1" applyFont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" fillId="0" borderId="1" xfId="8" applyNumberFormat="1" applyBorder="1" applyAlignment="1">
      <alignment horizontal="left" vertical="center"/>
    </xf>
    <xf numFmtId="49" fontId="1" fillId="0" borderId="1" xfId="0" applyNumberFormat="1" applyFont="1" applyBorder="1" applyAlignment="1">
      <alignment horizontal="left" vertical="center"/>
    </xf>
    <xf numFmtId="49" fontId="1" fillId="0" borderId="1" xfId="7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0" borderId="1" xfId="5" applyNumberFormat="1" applyFont="1" applyFill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3" fillId="0" borderId="1" xfId="7" applyNumberFormat="1" applyFont="1" applyBorder="1" applyAlignment="1">
      <alignment horizontal="left" vertical="center"/>
    </xf>
    <xf numFmtId="0" fontId="1" fillId="0" borderId="1" xfId="1" applyNumberFormat="1" applyFont="1" applyFill="1" applyBorder="1" applyAlignment="1">
      <alignment horizontal="left" vertical="center"/>
    </xf>
    <xf numFmtId="0" fontId="0" fillId="8" borderId="1" xfId="0" applyFill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0" fillId="0" borderId="1" xfId="1" applyNumberFormat="1" applyFont="1" applyBorder="1" applyAlignment="1" applyProtection="1">
      <alignment horizontal="center"/>
      <protection locked="0"/>
    </xf>
    <xf numFmtId="166" fontId="0" fillId="2" borderId="1" xfId="0" applyNumberFormat="1" applyFill="1" applyBorder="1" applyAlignment="1" applyProtection="1">
      <alignment horizontal="center"/>
      <protection locked="0"/>
    </xf>
    <xf numFmtId="49" fontId="3" fillId="0" borderId="1" xfId="7" applyNumberFormat="1" applyFont="1" applyBorder="1" applyAlignment="1" applyProtection="1">
      <alignment horizontal="left" vertical="center"/>
      <protection locked="0"/>
    </xf>
    <xf numFmtId="0" fontId="0" fillId="0" borderId="1" xfId="7" applyFont="1" applyBorder="1" applyAlignment="1">
      <alignment horizontal="left" vertical="center"/>
    </xf>
    <xf numFmtId="0" fontId="1" fillId="8" borderId="1" xfId="7" applyFill="1" applyBorder="1" applyAlignment="1" applyProtection="1">
      <alignment horizontal="left" vertical="center"/>
      <protection hidden="1"/>
    </xf>
    <xf numFmtId="164" fontId="0" fillId="8" borderId="1" xfId="1" applyNumberFormat="1" applyFont="1" applyFill="1" applyBorder="1" applyAlignment="1" applyProtection="1">
      <alignment horizontal="center"/>
      <protection hidden="1"/>
    </xf>
    <xf numFmtId="167" fontId="0" fillId="8" borderId="1" xfId="0" applyNumberFormat="1" applyFill="1" applyBorder="1" applyProtection="1">
      <protection hidden="1"/>
    </xf>
    <xf numFmtId="164" fontId="0" fillId="8" borderId="1" xfId="0" applyNumberFormat="1" applyFill="1" applyBorder="1" applyProtection="1">
      <protection hidden="1"/>
    </xf>
    <xf numFmtId="164" fontId="0" fillId="8" borderId="1" xfId="1" applyNumberFormat="1" applyFont="1" applyFill="1" applyBorder="1" applyProtection="1">
      <protection hidden="1"/>
    </xf>
    <xf numFmtId="164" fontId="0" fillId="7" borderId="1" xfId="0" applyNumberFormat="1" applyFill="1" applyBorder="1" applyProtection="1">
      <protection hidden="1"/>
    </xf>
    <xf numFmtId="164" fontId="0" fillId="7" borderId="1" xfId="1" applyNumberFormat="1" applyFont="1" applyFill="1" applyBorder="1" applyProtection="1">
      <protection hidden="1"/>
    </xf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2" fillId="2" borderId="8" xfId="0" applyFont="1" applyFill="1" applyBorder="1" applyProtection="1">
      <protection hidden="1"/>
    </xf>
    <xf numFmtId="0" fontId="2" fillId="2" borderId="12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164" fontId="0" fillId="2" borderId="0" xfId="1" applyNumberFormat="1" applyFont="1" applyFill="1" applyProtection="1">
      <protection hidden="1"/>
    </xf>
    <xf numFmtId="0" fontId="13" fillId="2" borderId="0" xfId="0" applyFont="1" applyFill="1" applyProtection="1">
      <protection hidden="1"/>
    </xf>
    <xf numFmtId="164" fontId="0" fillId="2" borderId="0" xfId="0" applyNumberFormat="1" applyFill="1" applyProtection="1">
      <protection hidden="1"/>
    </xf>
    <xf numFmtId="0" fontId="2" fillId="10" borderId="1" xfId="0" applyFont="1" applyFill="1" applyBorder="1" applyAlignment="1" applyProtection="1">
      <alignment horizontal="center" vertical="center" wrapText="1"/>
      <protection hidden="1"/>
    </xf>
    <xf numFmtId="0" fontId="8" fillId="10" borderId="1" xfId="0" applyFont="1" applyFill="1" applyBorder="1" applyAlignment="1" applyProtection="1">
      <alignment horizontal="center" vertical="center" wrapText="1"/>
      <protection hidden="1"/>
    </xf>
    <xf numFmtId="0" fontId="2" fillId="11" borderId="1" xfId="0" applyFont="1" applyFill="1" applyBorder="1" applyAlignment="1" applyProtection="1">
      <alignment horizontal="center"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/>
      <protection hidden="1"/>
    </xf>
    <xf numFmtId="0" fontId="1" fillId="8" borderId="9" xfId="7" applyFill="1" applyBorder="1" applyAlignment="1" applyProtection="1">
      <alignment horizontal="left" vertical="center"/>
      <protection hidden="1"/>
    </xf>
    <xf numFmtId="49" fontId="0" fillId="0" borderId="1" xfId="0" applyNumberFormat="1" applyBorder="1" applyAlignment="1">
      <alignment horizontal="left" vertical="center"/>
    </xf>
    <xf numFmtId="0" fontId="1" fillId="0" borderId="1" xfId="1" applyNumberFormat="1" applyFont="1" applyFill="1" applyBorder="1" applyAlignment="1">
      <alignment horizontal="right" vertical="center"/>
    </xf>
    <xf numFmtId="0" fontId="2" fillId="7" borderId="1" xfId="0" applyFont="1" applyFill="1" applyBorder="1" applyProtection="1">
      <protection hidden="1"/>
    </xf>
    <xf numFmtId="0" fontId="8" fillId="11" borderId="1" xfId="0" applyFont="1" applyFill="1" applyBorder="1" applyAlignment="1" applyProtection="1">
      <alignment horizontal="center" vertical="center" wrapText="1"/>
      <protection hidden="1"/>
    </xf>
    <xf numFmtId="0" fontId="8" fillId="11" borderId="1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49" fontId="1" fillId="0" borderId="1" xfId="8" applyNumberFormat="1" applyBorder="1" applyAlignment="1" applyProtection="1">
      <alignment horizontal="left" vertical="center"/>
      <protection locked="0"/>
    </xf>
    <xf numFmtId="49" fontId="8" fillId="0" borderId="1" xfId="0" quotePrefix="1" applyNumberFormat="1" applyFont="1" applyBorder="1" applyAlignment="1" applyProtection="1">
      <alignment horizontal="left" vertical="center"/>
      <protection locked="0"/>
    </xf>
    <xf numFmtId="0" fontId="23" fillId="11" borderId="1" xfId="0" applyFont="1" applyFill="1" applyBorder="1" applyAlignment="1" applyProtection="1">
      <alignment horizontal="center" vertical="center" wrapText="1"/>
      <protection hidden="1"/>
    </xf>
    <xf numFmtId="0" fontId="23" fillId="11" borderId="9" xfId="0" applyFont="1" applyFill="1" applyBorder="1" applyAlignment="1" applyProtection="1">
      <alignment horizontal="center" vertical="center" wrapText="1"/>
      <protection hidden="1"/>
    </xf>
    <xf numFmtId="0" fontId="24" fillId="11" borderId="9" xfId="0" applyFont="1" applyFill="1" applyBorder="1" applyAlignment="1" applyProtection="1">
      <alignment horizontal="center" vertical="center" wrapText="1"/>
      <protection hidden="1"/>
    </xf>
    <xf numFmtId="0" fontId="23" fillId="3" borderId="1" xfId="0" applyFont="1" applyFill="1" applyBorder="1" applyAlignment="1" applyProtection="1">
      <alignment horizontal="center" vertical="center" wrapText="1"/>
      <protection hidden="1"/>
    </xf>
    <xf numFmtId="0" fontId="24" fillId="3" borderId="1" xfId="0" applyFont="1" applyFill="1" applyBorder="1" applyAlignment="1" applyProtection="1">
      <alignment horizontal="center" vertical="center" wrapText="1"/>
      <protection hidden="1"/>
    </xf>
    <xf numFmtId="0" fontId="23" fillId="10" borderId="1" xfId="0" applyFont="1" applyFill="1" applyBorder="1" applyAlignment="1" applyProtection="1">
      <alignment horizontal="center" vertical="center" wrapText="1"/>
      <protection hidden="1"/>
    </xf>
    <xf numFmtId="0" fontId="24" fillId="10" borderId="1" xfId="0" applyFont="1" applyFill="1" applyBorder="1" applyAlignment="1" applyProtection="1">
      <alignment horizontal="center" vertical="center" wrapText="1"/>
      <protection hidden="1"/>
    </xf>
    <xf numFmtId="0" fontId="17" fillId="2" borderId="1" xfId="0" applyFont="1" applyFill="1" applyBorder="1" applyProtection="1">
      <protection locked="0"/>
    </xf>
    <xf numFmtId="0" fontId="17" fillId="0" borderId="1" xfId="1" applyNumberFormat="1" applyFont="1" applyBorder="1" applyAlignment="1" applyProtection="1">
      <alignment horizontal="center"/>
      <protection locked="0"/>
    </xf>
    <xf numFmtId="164" fontId="17" fillId="8" borderId="1" xfId="1" applyNumberFormat="1" applyFont="1" applyFill="1" applyBorder="1" applyAlignment="1" applyProtection="1">
      <alignment horizontal="center"/>
      <protection hidden="1"/>
    </xf>
    <xf numFmtId="0" fontId="17" fillId="8" borderId="1" xfId="0" applyFont="1" applyFill="1" applyBorder="1" applyProtection="1"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Protection="1">
      <protection locked="0"/>
    </xf>
    <xf numFmtId="164" fontId="17" fillId="8" borderId="1" xfId="1" applyNumberFormat="1" applyFont="1" applyFill="1" applyBorder="1" applyAlignment="1" applyProtection="1">
      <alignment horizontal="center" vertical="center"/>
      <protection hidden="1"/>
    </xf>
    <xf numFmtId="0" fontId="17" fillId="2" borderId="1" xfId="0" applyFont="1" applyFill="1" applyBorder="1" applyAlignment="1" applyProtection="1">
      <alignment horizontal="left" vertical="center"/>
      <protection locked="0"/>
    </xf>
    <xf numFmtId="0" fontId="17" fillId="9" borderId="1" xfId="0" applyFont="1" applyFill="1" applyBorder="1" applyAlignment="1" applyProtection="1">
      <alignment horizontal="center" vertical="center"/>
      <protection locked="0"/>
    </xf>
    <xf numFmtId="164" fontId="17" fillId="8" borderId="1" xfId="1" applyNumberFormat="1" applyFont="1" applyFill="1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locked="0"/>
    </xf>
    <xf numFmtId="0" fontId="8" fillId="12" borderId="1" xfId="0" applyFont="1" applyFill="1" applyBorder="1" applyAlignment="1" applyProtection="1">
      <alignment vertical="center"/>
      <protection hidden="1"/>
    </xf>
    <xf numFmtId="164" fontId="0" fillId="0" borderId="1" xfId="1" applyNumberFormat="1" applyFont="1" applyFill="1" applyBorder="1" applyAlignment="1" applyProtection="1">
      <alignment vertical="center"/>
      <protection hidden="1"/>
    </xf>
    <xf numFmtId="0" fontId="23" fillId="13" borderId="9" xfId="0" applyFont="1" applyFill="1" applyBorder="1" applyAlignment="1" applyProtection="1">
      <alignment horizontal="center" vertical="center" wrapText="1"/>
      <protection hidden="1"/>
    </xf>
    <xf numFmtId="0" fontId="23" fillId="13" borderId="1" xfId="0" applyFont="1" applyFill="1" applyBorder="1" applyAlignment="1" applyProtection="1">
      <alignment horizontal="center" vertical="center" wrapText="1"/>
      <protection hidden="1"/>
    </xf>
    <xf numFmtId="2" fontId="17" fillId="0" borderId="1" xfId="0" applyNumberFormat="1" applyFont="1" applyBorder="1" applyAlignment="1" applyProtection="1">
      <alignment horizontal="center"/>
      <protection locked="0"/>
    </xf>
    <xf numFmtId="2" fontId="17" fillId="0" borderId="1" xfId="0" applyNumberFormat="1" applyFont="1" applyBorder="1" applyProtection="1">
      <protection locked="0"/>
    </xf>
    <xf numFmtId="2" fontId="17" fillId="0" borderId="1" xfId="0" applyNumberFormat="1" applyFont="1" applyBorder="1" applyAlignment="1" applyProtection="1">
      <alignment horizontal="center" vertical="center"/>
      <protection locked="0"/>
    </xf>
    <xf numFmtId="2" fontId="17" fillId="2" borderId="1" xfId="0" applyNumberFormat="1" applyFont="1" applyFill="1" applyBorder="1" applyAlignment="1" applyProtection="1">
      <alignment horizontal="center" vertical="center"/>
      <protection locked="0"/>
    </xf>
    <xf numFmtId="2" fontId="17" fillId="2" borderId="0" xfId="1" applyNumberFormat="1" applyFont="1" applyFill="1" applyProtection="1">
      <protection hidden="1"/>
    </xf>
    <xf numFmtId="2" fontId="17" fillId="0" borderId="0" xfId="1" applyNumberFormat="1" applyFont="1" applyProtection="1">
      <protection hidden="1"/>
    </xf>
    <xf numFmtId="43" fontId="1" fillId="0" borderId="1" xfId="1" applyFont="1" applyFill="1" applyBorder="1" applyAlignment="1">
      <alignment horizontal="left" vertical="center"/>
    </xf>
    <xf numFmtId="0" fontId="21" fillId="2" borderId="0" xfId="0" applyFont="1" applyFill="1" applyAlignment="1" applyProtection="1">
      <alignment horizontal="center" vertical="center" wrapText="1"/>
      <protection hidden="1"/>
    </xf>
    <xf numFmtId="0" fontId="1" fillId="2" borderId="1" xfId="7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vertical="center"/>
      <protection hidden="1"/>
    </xf>
    <xf numFmtId="0" fontId="25" fillId="13" borderId="9" xfId="0" applyFont="1" applyFill="1" applyBorder="1" applyAlignment="1" applyProtection="1">
      <alignment horizontal="center" vertical="center" wrapText="1"/>
      <protection hidden="1"/>
    </xf>
    <xf numFmtId="168" fontId="0" fillId="0" borderId="0" xfId="0" applyNumberFormat="1"/>
    <xf numFmtId="167" fontId="17" fillId="8" borderId="1" xfId="1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8" fillId="2" borderId="0" xfId="0" applyFont="1" applyFill="1" applyAlignment="1" applyProtection="1">
      <alignment horizontal="right"/>
      <protection hidden="1"/>
    </xf>
    <xf numFmtId="164" fontId="8" fillId="2" borderId="0" xfId="0" applyNumberFormat="1" applyFont="1" applyFill="1" applyAlignment="1" applyProtection="1">
      <alignment horizontal="right"/>
      <protection hidden="1"/>
    </xf>
    <xf numFmtId="0" fontId="0" fillId="2" borderId="0" xfId="0" applyFill="1" applyAlignment="1" applyProtection="1">
      <alignment horizontal="center"/>
      <protection hidden="1"/>
    </xf>
    <xf numFmtId="0" fontId="2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6" fillId="2" borderId="0" xfId="0" applyFont="1" applyFill="1" applyProtection="1"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2" borderId="12" xfId="0" applyFill="1" applyBorder="1" applyProtection="1"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7" xfId="0" applyFill="1" applyBorder="1" applyProtection="1">
      <protection hidden="1"/>
    </xf>
    <xf numFmtId="0" fontId="0" fillId="2" borderId="13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vertical="center" wrapText="1"/>
      <protection hidden="1"/>
    </xf>
    <xf numFmtId="0" fontId="0" fillId="2" borderId="10" xfId="0" applyFill="1" applyBorder="1" applyProtection="1">
      <protection hidden="1"/>
    </xf>
    <xf numFmtId="0" fontId="8" fillId="12" borderId="1" xfId="0" applyFont="1" applyFill="1" applyBorder="1" applyProtection="1">
      <protection hidden="1"/>
    </xf>
    <xf numFmtId="0" fontId="0" fillId="0" borderId="0" xfId="0" applyAlignment="1" applyProtection="1">
      <alignment vertical="center"/>
      <protection hidden="1"/>
    </xf>
    <xf numFmtId="0" fontId="15" fillId="8" borderId="3" xfId="0" applyFont="1" applyFill="1" applyBorder="1" applyAlignment="1" applyProtection="1">
      <alignment vertical="center" wrapText="1"/>
      <protection hidden="1"/>
    </xf>
    <xf numFmtId="0" fontId="6" fillId="2" borderId="0" xfId="0" applyFont="1" applyFill="1" applyProtection="1">
      <protection hidden="1"/>
    </xf>
    <xf numFmtId="0" fontId="10" fillId="2" borderId="0" xfId="0" applyFont="1" applyFill="1" applyAlignment="1" applyProtection="1">
      <alignment horizontal="center" vertical="center" wrapText="1"/>
      <protection hidden="1"/>
    </xf>
    <xf numFmtId="0" fontId="26" fillId="2" borderId="0" xfId="0" applyFont="1" applyFill="1" applyAlignment="1" applyProtection="1">
      <alignment horizontal="center" vertical="center" wrapText="1"/>
      <protection hidden="1"/>
    </xf>
    <xf numFmtId="0" fontId="26" fillId="2" borderId="0" xfId="0" applyFont="1" applyFill="1" applyAlignment="1" applyProtection="1">
      <alignment horizontal="left" vertical="center" wrapText="1"/>
      <protection hidden="1"/>
    </xf>
    <xf numFmtId="43" fontId="0" fillId="2" borderId="0" xfId="1" applyFont="1" applyFill="1" applyProtection="1">
      <protection hidden="1"/>
    </xf>
    <xf numFmtId="0" fontId="3" fillId="0" borderId="0" xfId="0" applyFont="1" applyProtection="1">
      <protection hidden="1"/>
    </xf>
    <xf numFmtId="0" fontId="13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/>
      <protection hidden="1"/>
    </xf>
    <xf numFmtId="0" fontId="23" fillId="11" borderId="3" xfId="0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17" fillId="0" borderId="0" xfId="0" applyFont="1" applyProtection="1">
      <protection hidden="1"/>
    </xf>
    <xf numFmtId="0" fontId="25" fillId="13" borderId="1" xfId="0" applyFont="1" applyFill="1" applyBorder="1" applyAlignment="1" applyProtection="1">
      <alignment horizontal="center" vertical="center" wrapText="1"/>
      <protection hidden="1"/>
    </xf>
    <xf numFmtId="0" fontId="17" fillId="2" borderId="0" xfId="0" applyFont="1" applyFill="1" applyAlignment="1" applyProtection="1">
      <alignment vertical="center" wrapText="1"/>
      <protection hidden="1"/>
    </xf>
    <xf numFmtId="0" fontId="17" fillId="0" borderId="0" xfId="0" applyFont="1" applyAlignment="1" applyProtection="1">
      <alignment vertical="center" wrapText="1"/>
      <protection hidden="1"/>
    </xf>
    <xf numFmtId="164" fontId="17" fillId="9" borderId="1" xfId="1" applyNumberFormat="1" applyFont="1" applyFill="1" applyBorder="1" applyProtection="1">
      <protection hidden="1"/>
    </xf>
    <xf numFmtId="3" fontId="17" fillId="0" borderId="0" xfId="0" applyNumberFormat="1" applyFont="1" applyProtection="1">
      <protection hidden="1"/>
    </xf>
    <xf numFmtId="164" fontId="17" fillId="0" borderId="0" xfId="1" applyNumberFormat="1" applyFont="1" applyProtection="1">
      <protection hidden="1"/>
    </xf>
    <xf numFmtId="0" fontId="17" fillId="9" borderId="1" xfId="1" applyNumberFormat="1" applyFont="1" applyFill="1" applyBorder="1" applyProtection="1">
      <protection hidden="1"/>
    </xf>
    <xf numFmtId="164" fontId="17" fillId="2" borderId="0" xfId="0" applyNumberFormat="1" applyFont="1" applyFill="1" applyProtection="1">
      <protection hidden="1"/>
    </xf>
    <xf numFmtId="0" fontId="3" fillId="2" borderId="0" xfId="1" applyNumberFormat="1" applyFont="1" applyFill="1" applyBorder="1" applyAlignment="1" applyProtection="1">
      <alignment horizontal="center"/>
      <protection hidden="1"/>
    </xf>
    <xf numFmtId="43" fontId="8" fillId="2" borderId="0" xfId="0" applyNumberFormat="1" applyFont="1" applyFill="1" applyAlignment="1" applyProtection="1">
      <alignment horizontal="right"/>
      <protection hidden="1"/>
    </xf>
    <xf numFmtId="49" fontId="3" fillId="0" borderId="0" xfId="0" applyNumberFormat="1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164" fontId="3" fillId="2" borderId="0" xfId="1" applyNumberFormat="1" applyFont="1" applyFill="1" applyProtection="1">
      <protection hidden="1"/>
    </xf>
    <xf numFmtId="164" fontId="3" fillId="2" borderId="0" xfId="0" applyNumberFormat="1" applyFont="1" applyFill="1" applyProtection="1">
      <protection hidden="1"/>
    </xf>
    <xf numFmtId="43" fontId="0" fillId="2" borderId="0" xfId="1" applyFont="1" applyFill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0" fontId="2" fillId="2" borderId="17" xfId="0" applyFont="1" applyFill="1" applyBorder="1" applyAlignment="1" applyProtection="1">
      <alignment horizontal="left" vertical="center"/>
      <protection hidden="1"/>
    </xf>
    <xf numFmtId="0" fontId="4" fillId="0" borderId="0" xfId="4" applyAlignment="1">
      <alignment horizontal="center" vertical="center"/>
    </xf>
    <xf numFmtId="0" fontId="28" fillId="13" borderId="1" xfId="0" applyFont="1" applyFill="1" applyBorder="1" applyAlignment="1" applyProtection="1">
      <alignment horizontal="center" vertical="center" wrapText="1"/>
      <protection hidden="1"/>
    </xf>
    <xf numFmtId="164" fontId="0" fillId="2" borderId="0" xfId="1" applyNumberFormat="1" applyFont="1" applyFill="1" applyBorder="1" applyProtection="1">
      <protection hidden="1"/>
    </xf>
    <xf numFmtId="43" fontId="0" fillId="8" borderId="1" xfId="0" applyNumberFormat="1" applyFill="1" applyBorder="1" applyProtection="1">
      <protection hidden="1"/>
    </xf>
    <xf numFmtId="164" fontId="0" fillId="0" borderId="0" xfId="1" applyNumberFormat="1" applyFont="1"/>
    <xf numFmtId="164" fontId="0" fillId="0" borderId="0" xfId="0" applyNumberFormat="1"/>
    <xf numFmtId="49" fontId="0" fillId="0" borderId="0" xfId="0" applyNumberFormat="1"/>
    <xf numFmtId="0" fontId="1" fillId="0" borderId="1" xfId="7" applyBorder="1" applyAlignment="1">
      <alignment horizontal="left" vertical="center"/>
    </xf>
    <xf numFmtId="0" fontId="1" fillId="0" borderId="1" xfId="8" applyBorder="1" applyAlignment="1">
      <alignment horizontal="left" vertical="center"/>
    </xf>
    <xf numFmtId="164" fontId="0" fillId="8" borderId="4" xfId="1" applyNumberFormat="1" applyFont="1" applyFill="1" applyBorder="1" applyProtection="1">
      <protection hidden="1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 applyProtection="1">
      <alignment vertical="center" wrapText="1"/>
      <protection hidden="1"/>
    </xf>
    <xf numFmtId="0" fontId="13" fillId="11" borderId="1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 applyProtection="1">
      <alignment horizontal="right"/>
      <protection hidden="1"/>
    </xf>
    <xf numFmtId="0" fontId="0" fillId="2" borderId="13" xfId="0" applyFill="1" applyBorder="1" applyProtection="1">
      <protection hidden="1"/>
    </xf>
    <xf numFmtId="0" fontId="2" fillId="2" borderId="10" xfId="0" applyFont="1" applyFill="1" applyBorder="1" applyAlignment="1" applyProtection="1">
      <alignment horizontal="center"/>
      <protection hidden="1"/>
    </xf>
    <xf numFmtId="0" fontId="10" fillId="2" borderId="0" xfId="0" applyFont="1" applyFill="1" applyAlignment="1" applyProtection="1">
      <alignment vertical="center" wrapText="1"/>
      <protection hidden="1"/>
    </xf>
    <xf numFmtId="0" fontId="9" fillId="2" borderId="0" xfId="0" applyFont="1" applyFill="1" applyAlignment="1" applyProtection="1">
      <alignment vertical="center" wrapText="1"/>
      <protection hidden="1"/>
    </xf>
    <xf numFmtId="0" fontId="2" fillId="2" borderId="17" xfId="0" applyFont="1" applyFill="1" applyBorder="1" applyAlignment="1" applyProtection="1">
      <alignment horizontal="center" vertical="center"/>
      <protection hidden="1"/>
    </xf>
    <xf numFmtId="0" fontId="1" fillId="0" borderId="11" xfId="7" applyBorder="1" applyAlignment="1" applyProtection="1">
      <alignment horizontal="left" vertical="center"/>
      <protection hidden="1"/>
    </xf>
    <xf numFmtId="0" fontId="10" fillId="2" borderId="11" xfId="0" applyFont="1" applyFill="1" applyBorder="1" applyAlignment="1" applyProtection="1">
      <alignment vertical="center" wrapText="1"/>
      <protection hidden="1"/>
    </xf>
    <xf numFmtId="0" fontId="9" fillId="2" borderId="11" xfId="0" applyFont="1" applyFill="1" applyBorder="1" applyAlignment="1" applyProtection="1">
      <alignment vertical="center" wrapText="1"/>
      <protection hidden="1"/>
    </xf>
    <xf numFmtId="0" fontId="0" fillId="2" borderId="11" xfId="0" applyFill="1" applyBorder="1" applyProtection="1">
      <protection hidden="1"/>
    </xf>
    <xf numFmtId="0" fontId="0" fillId="2" borderId="15" xfId="0" applyFill="1" applyBorder="1" applyProtection="1">
      <protection hidden="1"/>
    </xf>
    <xf numFmtId="0" fontId="14" fillId="2" borderId="9" xfId="0" applyFont="1" applyFill="1" applyBorder="1" applyAlignment="1" applyProtection="1">
      <alignment horizontal="left" vertical="center"/>
      <protection hidden="1"/>
    </xf>
    <xf numFmtId="0" fontId="18" fillId="0" borderId="9" xfId="0" applyFont="1" applyBorder="1" applyAlignment="1" applyProtection="1">
      <alignment horizontal="center"/>
      <protection hidden="1"/>
    </xf>
    <xf numFmtId="0" fontId="11" fillId="0" borderId="16" xfId="0" applyFont="1" applyBorder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left" vertical="center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0" fillId="0" borderId="11" xfId="0" applyBorder="1" applyProtection="1">
      <protection hidden="1"/>
    </xf>
    <xf numFmtId="164" fontId="14" fillId="0" borderId="1" xfId="1" applyNumberFormat="1" applyFont="1" applyBorder="1" applyAlignment="1" applyProtection="1">
      <alignment horizontal="center" vertical="center"/>
      <protection hidden="1"/>
    </xf>
    <xf numFmtId="165" fontId="14" fillId="8" borderId="14" xfId="0" applyNumberFormat="1" applyFont="1" applyFill="1" applyBorder="1" applyAlignment="1" applyProtection="1">
      <alignment horizontal="center" vertical="center"/>
      <protection hidden="1"/>
    </xf>
    <xf numFmtId="165" fontId="14" fillId="8" borderId="11" xfId="0" applyNumberFormat="1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/>
      <protection hidden="1"/>
    </xf>
    <xf numFmtId="0" fontId="2" fillId="10" borderId="4" xfId="0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center" vertical="center" wrapText="1"/>
      <protection hidden="1"/>
    </xf>
    <xf numFmtId="0" fontId="7" fillId="5" borderId="1" xfId="0" applyFont="1" applyFill="1" applyBorder="1" applyAlignment="1" applyProtection="1">
      <alignment horizontal="center" vertical="center" wrapText="1"/>
      <protection hidden="1"/>
    </xf>
    <xf numFmtId="0" fontId="0" fillId="2" borderId="1" xfId="0" applyFill="1" applyBorder="1" applyAlignment="1" applyProtection="1">
      <alignment horizontal="center"/>
      <protection hidden="1"/>
    </xf>
    <xf numFmtId="164" fontId="0" fillId="2" borderId="1" xfId="1" applyNumberFormat="1" applyFont="1" applyFill="1" applyBorder="1" applyAlignment="1" applyProtection="1">
      <alignment horizontal="center"/>
      <protection hidden="1"/>
    </xf>
    <xf numFmtId="164" fontId="0" fillId="2" borderId="1" xfId="0" applyNumberFormat="1" applyFill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164" fontId="0" fillId="2" borderId="1" xfId="1" applyNumberFormat="1" applyFont="1" applyFill="1" applyBorder="1" applyProtection="1">
      <protection hidden="1"/>
    </xf>
    <xf numFmtId="0" fontId="1" fillId="8" borderId="1" xfId="7" applyFill="1" applyBorder="1" applyAlignment="1" applyProtection="1">
      <alignment horizontal="left" vertical="center"/>
      <protection locked="0"/>
    </xf>
    <xf numFmtId="0" fontId="23" fillId="10" borderId="2" xfId="0" applyFont="1" applyFill="1" applyBorder="1" applyAlignment="1" applyProtection="1">
      <alignment horizontal="center"/>
      <protection hidden="1"/>
    </xf>
    <xf numFmtId="0" fontId="23" fillId="10" borderId="3" xfId="0" applyFont="1" applyFill="1" applyBorder="1" applyAlignment="1" applyProtection="1">
      <alignment horizontal="center"/>
      <protection hidden="1"/>
    </xf>
    <xf numFmtId="0" fontId="23" fillId="10" borderId="4" xfId="0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23" fillId="11" borderId="2" xfId="0" applyFont="1" applyFill="1" applyBorder="1" applyAlignment="1" applyProtection="1">
      <alignment horizontal="center"/>
      <protection hidden="1"/>
    </xf>
    <xf numFmtId="0" fontId="23" fillId="11" borderId="3" xfId="0" applyFont="1" applyFill="1" applyBorder="1" applyAlignment="1" applyProtection="1">
      <alignment horizontal="center"/>
      <protection hidden="1"/>
    </xf>
    <xf numFmtId="0" fontId="23" fillId="3" borderId="3" xfId="0" applyFont="1" applyFill="1" applyBorder="1" applyAlignment="1" applyProtection="1">
      <alignment horizontal="center"/>
      <protection hidden="1"/>
    </xf>
    <xf numFmtId="0" fontId="23" fillId="3" borderId="4" xfId="0" applyFont="1" applyFill="1" applyBorder="1" applyAlignment="1" applyProtection="1">
      <alignment horizontal="center"/>
      <protection hidden="1"/>
    </xf>
    <xf numFmtId="0" fontId="26" fillId="2" borderId="8" xfId="0" applyFont="1" applyFill="1" applyBorder="1" applyAlignment="1" applyProtection="1">
      <alignment horizontal="center" wrapText="1"/>
      <protection hidden="1"/>
    </xf>
    <xf numFmtId="0" fontId="26" fillId="2" borderId="12" xfId="0" applyFont="1" applyFill="1" applyBorder="1" applyAlignment="1" applyProtection="1">
      <alignment horizontal="center" wrapText="1"/>
      <protection hidden="1"/>
    </xf>
    <xf numFmtId="0" fontId="26" fillId="2" borderId="7" xfId="0" applyFont="1" applyFill="1" applyBorder="1" applyAlignment="1" applyProtection="1">
      <alignment horizontal="center" wrapText="1"/>
      <protection hidden="1"/>
    </xf>
    <xf numFmtId="0" fontId="26" fillId="2" borderId="17" xfId="0" applyFont="1" applyFill="1" applyBorder="1" applyAlignment="1" applyProtection="1">
      <alignment horizontal="center" wrapText="1"/>
      <protection hidden="1"/>
    </xf>
    <xf numFmtId="0" fontId="26" fillId="2" borderId="11" xfId="0" applyFont="1" applyFill="1" applyBorder="1" applyAlignment="1" applyProtection="1">
      <alignment horizontal="center" wrapText="1"/>
      <protection hidden="1"/>
    </xf>
    <xf numFmtId="0" fontId="26" fillId="2" borderId="15" xfId="0" applyFont="1" applyFill="1" applyBorder="1" applyAlignment="1" applyProtection="1">
      <alignment horizontal="center" wrapText="1"/>
      <protection hidden="1"/>
    </xf>
    <xf numFmtId="0" fontId="2" fillId="11" borderId="1" xfId="0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center"/>
      <protection hidden="1"/>
    </xf>
    <xf numFmtId="0" fontId="2" fillId="10" borderId="2" xfId="0" applyFont="1" applyFill="1" applyBorder="1" applyAlignment="1" applyProtection="1">
      <alignment horizontal="center"/>
      <protection hidden="1"/>
    </xf>
    <xf numFmtId="0" fontId="2" fillId="10" borderId="3" xfId="0" applyFont="1" applyFill="1" applyBorder="1" applyAlignment="1" applyProtection="1">
      <alignment horizontal="center"/>
      <protection hidden="1"/>
    </xf>
    <xf numFmtId="0" fontId="2" fillId="10" borderId="4" xfId="0" applyFont="1" applyFill="1" applyBorder="1" applyAlignment="1" applyProtection="1">
      <alignment horizontal="center"/>
      <protection hidden="1"/>
    </xf>
    <xf numFmtId="0" fontId="22" fillId="2" borderId="0" xfId="0" applyFont="1" applyFill="1" applyAlignment="1" applyProtection="1">
      <alignment horizontal="center"/>
      <protection hidden="1"/>
    </xf>
    <xf numFmtId="0" fontId="22" fillId="2" borderId="10" xfId="0" applyFont="1" applyFill="1" applyBorder="1" applyAlignment="1" applyProtection="1">
      <alignment horizontal="center"/>
      <protection hidden="1"/>
    </xf>
    <xf numFmtId="0" fontId="21" fillId="2" borderId="0" xfId="0" applyFont="1" applyFill="1" applyBorder="1" applyAlignment="1" applyProtection="1">
      <alignment vertical="center" wrapText="1"/>
      <protection hidden="1"/>
    </xf>
    <xf numFmtId="0" fontId="21" fillId="2" borderId="1" xfId="0" applyFont="1" applyFill="1" applyBorder="1" applyAlignment="1" applyProtection="1">
      <alignment horizontal="center" vertical="center" wrapText="1"/>
      <protection hidden="1"/>
    </xf>
    <xf numFmtId="172" fontId="0" fillId="0" borderId="1" xfId="0" applyNumberFormat="1" applyBorder="1" applyAlignment="1" applyProtection="1">
      <alignment horizontal="center"/>
      <protection locked="0"/>
    </xf>
    <xf numFmtId="0" fontId="8" fillId="13" borderId="4" xfId="0" applyFont="1" applyFill="1" applyBorder="1" applyAlignment="1" applyProtection="1">
      <alignment horizontal="center" vertical="center" wrapText="1"/>
      <protection hidden="1"/>
    </xf>
    <xf numFmtId="0" fontId="29" fillId="2" borderId="0" xfId="0" applyFont="1" applyFill="1" applyAlignment="1" applyProtection="1">
      <alignment vertical="center" wrapText="1"/>
      <protection hidden="1"/>
    </xf>
  </cellXfs>
  <cellStyles count="18">
    <cellStyle name="Millares" xfId="1" builtinId="3"/>
    <cellStyle name="Millares [0]" xfId="5" builtinId="6"/>
    <cellStyle name="Millares [0] 2" xfId="13" xr:uid="{6322FD35-69D7-4F5F-801B-6253FE19BD6B}"/>
    <cellStyle name="Millares 2" xfId="9" xr:uid="{BF831B6C-EA05-44CC-B86F-ACC77B3F1208}"/>
    <cellStyle name="Millares 3" xfId="3" xr:uid="{5C72E652-D0A5-44A7-9BD9-E426498B3BA7}"/>
    <cellStyle name="Millares 3 2" xfId="11" xr:uid="{243D79AA-4958-4B11-B6D7-4B3530F48981}"/>
    <cellStyle name="Millares 4" xfId="2" xr:uid="{C56F048B-540E-43A3-A4B1-3A83F59DCC3F}"/>
    <cellStyle name="Millares 4 2" xfId="10" xr:uid="{1FC31E9E-BD01-450E-B45B-82A2C5440756}"/>
    <cellStyle name="Millares 5" xfId="12" xr:uid="{41FA5D58-FF62-4CA2-90D2-3173BA5FF4D0}"/>
    <cellStyle name="Millares 6" xfId="15" xr:uid="{738ABBBF-FF80-4BCE-A340-321F2D86BB15}"/>
    <cellStyle name="Normal" xfId="0" builtinId="0"/>
    <cellStyle name="Normal 2" xfId="6" xr:uid="{4CB5A02A-1D9E-43AF-ADD1-1BE7FE6BD4F8}"/>
    <cellStyle name="Normal 2 2" xfId="14" xr:uid="{CCD2ED61-64B1-4A5A-85EC-5BBF5589C038}"/>
    <cellStyle name="Normal 3" xfId="8" xr:uid="{BDF365E7-5D17-46C3-A2D1-F7BADDBB6ACF}"/>
    <cellStyle name="Normal 3 2" xfId="17" xr:uid="{0EE0554F-A837-4C5F-888A-746FD322D4E0}"/>
    <cellStyle name="Normal 4" xfId="4" xr:uid="{44776CC8-3D50-4381-8A34-88771BA947E5}"/>
    <cellStyle name="Normal 5 2" xfId="7" xr:uid="{F18B6341-6EB2-4564-853F-0631B6D6AEC3}"/>
    <cellStyle name="Normal 7" xfId="16" xr:uid="{3D7C7C33-76D5-4F82-84AE-48AD9814E194}"/>
  </cellStyles>
  <dxfs count="3"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4" tint="-0.25098422193060094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4" tint="-0.25098422193060094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AEEDF8"/>
      <color rgb="FF6BF030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31" fmlaLink="$O$10" max="2025" min="2022" page="10" val="2025"/>
</file>

<file path=xl/ctrlProps/ctrlProp2.xml><?xml version="1.0" encoding="utf-8"?>
<formControlPr xmlns="http://schemas.microsoft.com/office/spreadsheetml/2009/9/main" objectType="Spin" dx="31" fmlaLink="$R$11" max="2023" min="2022" page="10" val="2023"/>
</file>

<file path=xl/ctrlProps/ctrlProp3.xml><?xml version="1.0" encoding="utf-8"?>
<formControlPr xmlns="http://schemas.microsoft.com/office/spreadsheetml/2009/9/main" objectType="Spin" dx="31" fmlaLink="$R$11" max="2025" min="2022" page="10" val="202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773202</xdr:colOff>
      <xdr:row>0</xdr:row>
      <xdr:rowOff>83155</xdr:rowOff>
    </xdr:from>
    <xdr:to>
      <xdr:col>11</xdr:col>
      <xdr:colOff>2215323</xdr:colOff>
      <xdr:row>3</xdr:row>
      <xdr:rowOff>85480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2059" y="83155"/>
          <a:ext cx="1442121" cy="573825"/>
        </a:xfrm>
        <a:prstGeom prst="rect">
          <a:avLst/>
        </a:prstGeom>
      </xdr:spPr>
    </xdr:pic>
    <xdr:clientData/>
  </xdr:twoCellAnchor>
  <xdr:twoCellAnchor>
    <xdr:from>
      <xdr:col>11</xdr:col>
      <xdr:colOff>2286000</xdr:colOff>
      <xdr:row>0</xdr:row>
      <xdr:rowOff>175950</xdr:rowOff>
    </xdr:from>
    <xdr:to>
      <xdr:col>19</xdr:col>
      <xdr:colOff>190499</xdr:colOff>
      <xdr:row>4</xdr:row>
      <xdr:rowOff>124165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014857" y="175950"/>
          <a:ext cx="4708071" cy="71021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800" b="1"/>
            <a:t>CÁLCULO AVALÚO CATASTRAL CARTAGO </a:t>
          </a:r>
        </a:p>
        <a:p>
          <a:pPr algn="ctr"/>
          <a:r>
            <a:rPr lang="es-CO" sz="1800" b="1"/>
            <a:t>VALLE AVANZA 2025</a:t>
          </a:r>
        </a:p>
      </xdr:txBody>
    </xdr:sp>
    <xdr:clientData/>
  </xdr:twoCellAnchor>
  <xdr:twoCellAnchor>
    <xdr:from>
      <xdr:col>11</xdr:col>
      <xdr:colOff>99786</xdr:colOff>
      <xdr:row>9</xdr:row>
      <xdr:rowOff>72571</xdr:rowOff>
    </xdr:from>
    <xdr:to>
      <xdr:col>11</xdr:col>
      <xdr:colOff>381000</xdr:colOff>
      <xdr:row>10</xdr:row>
      <xdr:rowOff>99786</xdr:rowOff>
    </xdr:to>
    <xdr:sp macro="[0]!PredioEspecial_Click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625036" y="1868714"/>
          <a:ext cx="281214" cy="2721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8</xdr:row>
          <xdr:rowOff>260350</xdr:rowOff>
        </xdr:from>
        <xdr:to>
          <xdr:col>15</xdr:col>
          <xdr:colOff>641350</xdr:colOff>
          <xdr:row>10</xdr:row>
          <xdr:rowOff>69850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21</xdr:col>
      <xdr:colOff>1170215</xdr:colOff>
      <xdr:row>33</xdr:row>
      <xdr:rowOff>13606</xdr:rowOff>
    </xdr:from>
    <xdr:to>
      <xdr:col>28</xdr:col>
      <xdr:colOff>1306286</xdr:colOff>
      <xdr:row>37</xdr:row>
      <xdr:rowOff>95250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043322" y="6749142"/>
          <a:ext cx="4313464" cy="843644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bg1"/>
              </a:solidFill>
            </a:rPr>
            <a:t>ELABORADO</a:t>
          </a:r>
          <a:r>
            <a:rPr lang="es-ES" sz="1600" b="1" baseline="0">
              <a:solidFill>
                <a:schemeClr val="bg1"/>
              </a:solidFill>
            </a:rPr>
            <a:t> POR:  LEIDY ALEJANDRA PORTILLA   </a:t>
          </a:r>
        </a:p>
        <a:p>
          <a:r>
            <a:rPr lang="es-ES" sz="1600" b="1" baseline="0">
              <a:solidFill>
                <a:schemeClr val="bg1"/>
              </a:solidFill>
            </a:rPr>
            <a:t>ÁREA DE ESTADÍSTICA</a:t>
          </a:r>
        </a:p>
        <a:p>
          <a:r>
            <a:rPr lang="es-ES" sz="1600" b="1" baseline="0">
              <a:solidFill>
                <a:schemeClr val="bg1"/>
              </a:solidFill>
            </a:rPr>
            <a:t>VALLE AVANZA SAS</a:t>
          </a:r>
          <a:endParaRPr lang="es-ES" sz="16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8</xdr:row>
          <xdr:rowOff>107950</xdr:rowOff>
        </xdr:from>
        <xdr:to>
          <xdr:col>28</xdr:col>
          <xdr:colOff>495300</xdr:colOff>
          <xdr:row>10</xdr:row>
          <xdr:rowOff>160564</xdr:rowOff>
        </xdr:to>
        <xdr:sp macro="" textlink="">
          <xdr:nvSpPr>
            <xdr:cNvPr id="1046" name="CommandButton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27214</xdr:colOff>
      <xdr:row>0</xdr:row>
      <xdr:rowOff>108856</xdr:rowOff>
    </xdr:from>
    <xdr:to>
      <xdr:col>20</xdr:col>
      <xdr:colOff>281214</xdr:colOff>
      <xdr:row>5</xdr:row>
      <xdr:rowOff>9614</xdr:rowOff>
    </xdr:to>
    <xdr:pic>
      <xdr:nvPicPr>
        <xdr:cNvPr id="4" name="Imagen 3" descr="Gobernación Valle del Cauca">
          <a:extLst>
            <a:ext uri="{FF2B5EF4-FFF2-40B4-BE49-F238E27FC236}">
              <a16:creationId xmlns:a16="http://schemas.microsoft.com/office/drawing/2014/main" id="{4608AFAC-30B5-4932-B4FF-FF8A3B396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84285" y="108856"/>
          <a:ext cx="1705429" cy="807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252297</xdr:colOff>
      <xdr:row>0</xdr:row>
      <xdr:rowOff>187161</xdr:rowOff>
    </xdr:from>
    <xdr:to>
      <xdr:col>11</xdr:col>
      <xdr:colOff>11926</xdr:colOff>
      <xdr:row>3</xdr:row>
      <xdr:rowOff>140416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9641" y="187161"/>
          <a:ext cx="1307441" cy="52475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0</xdr:row>
      <xdr:rowOff>136701</xdr:rowOff>
    </xdr:from>
    <xdr:to>
      <xdr:col>16</xdr:col>
      <xdr:colOff>1279072</xdr:colOff>
      <xdr:row>5</xdr:row>
      <xdr:rowOff>45357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1571" y="136701"/>
          <a:ext cx="6277430" cy="8157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000" b="1"/>
            <a:t>CÁLCULO AVALÚO CATASTRAL ESPECIAL - CARTAGO</a:t>
          </a:r>
        </a:p>
        <a:p>
          <a:pPr algn="ctr"/>
          <a:r>
            <a:rPr lang="es-CO" sz="2000" b="1"/>
            <a:t>VALLE AVANZA 2025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679450</xdr:colOff>
          <xdr:row>28</xdr:row>
          <xdr:rowOff>133350</xdr:rowOff>
        </xdr:from>
        <xdr:to>
          <xdr:col>11</xdr:col>
          <xdr:colOff>1778000</xdr:colOff>
          <xdr:row>30</xdr:row>
          <xdr:rowOff>19050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88900</xdr:colOff>
          <xdr:row>8</xdr:row>
          <xdr:rowOff>266700</xdr:rowOff>
        </xdr:from>
        <xdr:to>
          <xdr:col>25</xdr:col>
          <xdr:colOff>495300</xdr:colOff>
          <xdr:row>11</xdr:row>
          <xdr:rowOff>184150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1460500</xdr:colOff>
          <xdr:row>9</xdr:row>
          <xdr:rowOff>114300</xdr:rowOff>
        </xdr:from>
        <xdr:to>
          <xdr:col>17</xdr:col>
          <xdr:colOff>2165350</xdr:colOff>
          <xdr:row>11</xdr:row>
          <xdr:rowOff>107950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16</xdr:col>
      <xdr:colOff>1460500</xdr:colOff>
      <xdr:row>0</xdr:row>
      <xdr:rowOff>90714</xdr:rowOff>
    </xdr:from>
    <xdr:to>
      <xdr:col>17</xdr:col>
      <xdr:colOff>843644</xdr:colOff>
      <xdr:row>5</xdr:row>
      <xdr:rowOff>67</xdr:rowOff>
    </xdr:to>
    <xdr:pic>
      <xdr:nvPicPr>
        <xdr:cNvPr id="5" name="Imagen 4" descr="Gobernación Valle del Cauca">
          <a:extLst>
            <a:ext uri="{FF2B5EF4-FFF2-40B4-BE49-F238E27FC236}">
              <a16:creationId xmlns:a16="http://schemas.microsoft.com/office/drawing/2014/main" id="{45F33C3B-2F66-454C-AD4C-927C96F7C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70429" y="90714"/>
          <a:ext cx="1723572" cy="816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65F3687\Copia%20de%20F50100-11-10V1%20a%20F50100-26-11V1%20Formatos%20estudio%20de%20zonas%20homogeneas%20fisicas%20y%20geoeconomicas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CBY/NORMAS/Manuales%20y%20Formatos/F50100-11-10V1%20a%20F50100-22-10V1%20Formatos%20estudio%20de%20zonas%20homogeneas%20fisicas%20y%20geoeconomica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lson%20benitez\Comite%2024%20de%20octubre\Base_ERU_WILSON_BENITEZ%2014%2009%20-%20ULTIMO%2010-1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ABAJO\GAITAN\2017\PLUSVALIA\Predios_Decreto50_Tota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121BBAD\Copia%20de%20BASE%20DE%20DATOS%20APU'S%20(4)%20(3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Desarrollo%20327%20Base%202019%20Caso%201_Residencia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Users\yleon\AppData\Local\Microsoft\Windows\Temporary%20Internet%20Files\Content.Outlook\RHW4SX5I\29%20DE%20JUNIO\adrian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nts%20and%20Settings\pcastro\Configuraci&#243;n%20local\Archivos%20temporales%20de%20Internet\Content.Outlook\SYS0SW1Q\Formato%20planilla%20comites%20de%20avalu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MENU"/>
      <sheetName val="F50100-11-10-V1"/>
      <sheetName val="F50100-12-10-V1"/>
      <sheetName val="F50100-13-10-V2"/>
      <sheetName val="F50100-14-10-V2"/>
      <sheetName val="F50100-15-10-V2"/>
      <sheetName val="F50100-16-10-V2"/>
      <sheetName val="F50100-17-10-V1"/>
      <sheetName val="F50100-22-10-V1"/>
      <sheetName val="encuestas (2)"/>
      <sheetName val="F50100-18-10-V1"/>
      <sheetName val="F50100-20-10-V2"/>
      <sheetName val="F50100-19-10-V2"/>
      <sheetName val="50100-21-10-V1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MENU"/>
      <sheetName val="F50100-11-10-V1"/>
      <sheetName val="F50100-12-10-V1"/>
      <sheetName val="F50100-13-10-V2"/>
      <sheetName val="F50100-14-10-V2"/>
      <sheetName val="F50100-15-10-V2"/>
      <sheetName val="F50100-16-10-V2"/>
      <sheetName val="F50100-17-10-V1"/>
      <sheetName val="F50100-22-10-V1"/>
      <sheetName val="encuestas (2)"/>
      <sheetName val="F50100-18-10-V1"/>
      <sheetName val="F50100-20-10-V2"/>
      <sheetName val="F50100-19-10-V2"/>
      <sheetName val="50100-21-10-V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_Lucro"/>
      <sheetName val="Formato"/>
      <sheetName val="Resumen"/>
      <sheetName val="Anexo 1"/>
      <sheetName val="Anexo 2"/>
      <sheetName val="Anexo 3"/>
      <sheetName val="Anexo 4"/>
      <sheetName val="wilson vsp"/>
      <sheetName val="Tipologias2017-2018"/>
      <sheetName val="Comercio"/>
      <sheetName val="Residencial Sur"/>
      <sheetName val="Residencial Norte"/>
      <sheetName val="OFETTAS_NPH (4)"/>
      <sheetName val="OFETTAS_NPH (3)"/>
      <sheetName val="Tipologias2017-2018 (2)"/>
      <sheetName val="Residencias (2)"/>
      <sheetName val="Residencias (1)"/>
      <sheetName val="Gas"/>
      <sheetName val="Vía"/>
      <sheetName val="URBANISMOS  2018 VIG 2019"/>
      <sheetName val="ejes comerciales"/>
      <sheetName val="SEP"/>
      <sheetName val="OFETTAS_NPH (2)"/>
      <sheetName val="OFETTAS_NPH"/>
      <sheetName val="Base General"/>
      <sheetName val="tabla"/>
      <sheetName val="cálculos"/>
      <sheetName val="compilado de tipologias"/>
      <sheetName val="Tipo 1 -2018"/>
      <sheetName val="Tipo 2 -2018"/>
      <sheetName val="FORMATO COMITE wilson "/>
      <sheetName val="Asignación"/>
      <sheetName val="listado de titulos"/>
      <sheetName val="modelo diccionario"/>
      <sheetName val="Hoja1"/>
      <sheetName val="Hoja2"/>
      <sheetName val="UPZ"/>
      <sheetName val="ZONAS_FISICAS"/>
      <sheetName val="NORMA"/>
      <sheetName val="CONSTRUCCIONES"/>
      <sheetName val="Hoja3"/>
      <sheetName val="Hoja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3">
          <cell r="A3" t="str">
            <v>Agencia Nacional de Infraestructura - ANI</v>
          </cell>
          <cell r="C3" t="str">
            <v>Adquisición</v>
          </cell>
          <cell r="E3" t="str">
            <v>Apartamento</v>
          </cell>
          <cell r="G3" t="str">
            <v>Agricola</v>
          </cell>
          <cell r="N3" t="str">
            <v>001101, Las Brisas</v>
          </cell>
        </row>
        <row r="4">
          <cell r="A4" t="str">
            <v>Central de inversiones - CISA</v>
          </cell>
          <cell r="C4" t="str">
            <v>Adquisición Parcial</v>
          </cell>
          <cell r="E4" t="str">
            <v>Bodega Comercial</v>
          </cell>
          <cell r="G4" t="str">
            <v>Agroforestal</v>
          </cell>
          <cell r="N4" t="str">
            <v>001102, Buenos Aires</v>
          </cell>
        </row>
        <row r="5">
          <cell r="A5" t="str">
            <v>Caja de Vivienda Popular - CVP</v>
          </cell>
          <cell r="C5" t="str">
            <v>Adquisición Total</v>
          </cell>
          <cell r="E5" t="str">
            <v>Bodega Económica</v>
          </cell>
          <cell r="G5" t="str">
            <v>Agroindustrial</v>
          </cell>
          <cell r="N5" t="str">
            <v>001103, Vitelma</v>
          </cell>
        </row>
        <row r="6">
          <cell r="A6" t="str">
            <v>Empresa de Acueducto y Alcatarillado de Bogotá - EAAB</v>
          </cell>
          <cell r="C6" t="str">
            <v>Avalúo Comercial Parcial</v>
          </cell>
          <cell r="E6" t="str">
            <v>Casa</v>
          </cell>
          <cell r="G6" t="str">
            <v>Agropecuarios</v>
          </cell>
          <cell r="N6" t="str">
            <v>001104, Molinos de Oriente</v>
          </cell>
        </row>
        <row r="7">
          <cell r="A7" t="str">
            <v>Empresa de Renovación y Desarrollo Urbano - ERU</v>
          </cell>
          <cell r="C7" t="str">
            <v>Avalúo Comercial</v>
          </cell>
          <cell r="E7" t="str">
            <v>Cementerio</v>
          </cell>
          <cell r="G7" t="str">
            <v>Comercio en Centro Comercial</v>
          </cell>
          <cell r="N7" t="str">
            <v>001106, San Blas</v>
          </cell>
        </row>
        <row r="8">
          <cell r="A8" t="str">
            <v>Fondo de Desarrollo de Suba</v>
          </cell>
          <cell r="C8" t="str">
            <v>Avalúo de indemnización</v>
          </cell>
          <cell r="E8" t="str">
            <v>Centro Comercial Grande</v>
          </cell>
          <cell r="G8" t="str">
            <v xml:space="preserve">Comercio en Corredor Comercial </v>
          </cell>
          <cell r="N8" t="str">
            <v>001107, Las Mercedes</v>
          </cell>
        </row>
        <row r="9">
          <cell r="A9" t="str">
            <v>Instituto Distrital de Gestión de Riesgos y Cambio Climático - IDIGER</v>
          </cell>
          <cell r="C9" t="str">
            <v>Avalúo determinar VIS</v>
          </cell>
          <cell r="E9" t="str">
            <v>Centro Comercial Mediano</v>
          </cell>
          <cell r="G9" t="str">
            <v>Comercio Puntual</v>
          </cell>
          <cell r="N9" t="str">
            <v>001108, San Cristóbal Sur</v>
          </cell>
        </row>
        <row r="10">
          <cell r="A10" t="str">
            <v>Instituto Distrital para la Recreación y el Deporte - IDRD</v>
          </cell>
          <cell r="C10" t="str">
            <v>Avalúo de Renta</v>
          </cell>
          <cell r="E10" t="str">
            <v>Centro Comercial Pequeño</v>
          </cell>
          <cell r="G10" t="str">
            <v>Dotacional Privado</v>
          </cell>
          <cell r="N10" t="str">
            <v>001109, La María</v>
          </cell>
        </row>
        <row r="11">
          <cell r="A11" t="str">
            <v>Instituto de Desarrollo Urbano - IDU</v>
          </cell>
          <cell r="C11" t="str">
            <v>Avalúo de Referencia</v>
          </cell>
          <cell r="E11" t="str">
            <v>Clínica Hopital</v>
          </cell>
          <cell r="G11" t="str">
            <v>Dotacional Público</v>
          </cell>
          <cell r="N11" t="str">
            <v>001110, San Javier</v>
          </cell>
        </row>
        <row r="12">
          <cell r="A12" t="str">
            <v>Instituto para la Economía Social - IPES</v>
          </cell>
          <cell r="E12" t="str">
            <v>Club de Mayor Extensión</v>
          </cell>
          <cell r="G12" t="str">
            <v>Espacio Público</v>
          </cell>
          <cell r="N12" t="str">
            <v>001111, Santa Ana Sur</v>
          </cell>
        </row>
        <row r="13">
          <cell r="A13" t="str">
            <v>Juzgado 29 Civil</v>
          </cell>
          <cell r="E13" t="str">
            <v>Club Pequeño</v>
          </cell>
          <cell r="G13" t="str">
            <v>Forestal(Protector–Productor)</v>
          </cell>
          <cell r="N13" t="str">
            <v>001112, Primero de Mayo</v>
          </cell>
        </row>
        <row r="14">
          <cell r="A14" t="str">
            <v>Metrovivienda</v>
          </cell>
          <cell r="E14" t="str">
            <v>Colegio</v>
          </cell>
          <cell r="G14" t="str">
            <v>Industrial</v>
          </cell>
          <cell r="N14" t="str">
            <v>001113, San Blas II</v>
          </cell>
        </row>
        <row r="15">
          <cell r="A15" t="str">
            <v>Personería de Bogotá</v>
          </cell>
          <cell r="E15" t="str">
            <v>Coliseo</v>
          </cell>
          <cell r="G15" t="str">
            <v>Minero</v>
          </cell>
          <cell r="N15" t="str">
            <v>001114, Velodromo</v>
          </cell>
        </row>
        <row r="16">
          <cell r="A16" t="str">
            <v>Secretaria Distrital de Ambiente - SDA</v>
          </cell>
          <cell r="E16" t="str">
            <v>Comercio en Corredor Comercial</v>
          </cell>
          <cell r="G16" t="str">
            <v>No Urbanizable Y/O Suelo Protegido</v>
          </cell>
          <cell r="N16" t="str">
            <v>001115, Monte Carlo</v>
          </cell>
        </row>
        <row r="17">
          <cell r="A17" t="str">
            <v>Secretaria Distrital de Hacienda - SDH</v>
          </cell>
          <cell r="E17" t="str">
            <v>Comercio Puntual</v>
          </cell>
          <cell r="G17" t="str">
            <v>Parqueaderos</v>
          </cell>
          <cell r="N17" t="str">
            <v>001116, Tibaque Urbano</v>
          </cell>
        </row>
        <row r="18">
          <cell r="A18" t="str">
            <v>Secretaria Distrital de Hábitat - SDHT</v>
          </cell>
          <cell r="E18" t="str">
            <v>Culto religioso</v>
          </cell>
          <cell r="G18" t="str">
            <v>Pecuario</v>
          </cell>
          <cell r="N18" t="str">
            <v>001118, Los Laureles Suroriental I</v>
          </cell>
        </row>
        <row r="19">
          <cell r="A19" t="str">
            <v>Secretaria de Integración Social - SDIS</v>
          </cell>
          <cell r="E19" t="str">
            <v>Depósito</v>
          </cell>
          <cell r="G19" t="str">
            <v>Predios Con Mejoras</v>
          </cell>
          <cell r="N19" t="str">
            <v>001119, Aguas Claras I</v>
          </cell>
        </row>
        <row r="20">
          <cell r="A20" t="str">
            <v>Secretaria de Educación Distrital - SED</v>
          </cell>
          <cell r="E20" t="str">
            <v>Dotacional Público</v>
          </cell>
          <cell r="G20" t="str">
            <v>Predios Rurales Parcelados No Edificados</v>
          </cell>
          <cell r="N20" t="str">
            <v>001201, Sevilla</v>
          </cell>
        </row>
        <row r="21">
          <cell r="A21" t="str">
            <v>Secretaria Distrital de Gobierno - SDG</v>
          </cell>
          <cell r="E21" t="str">
            <v>Edificio</v>
          </cell>
          <cell r="G21" t="str">
            <v>Recreacional Privado</v>
          </cell>
          <cell r="N21" t="str">
            <v>001202, Ciudad Berna</v>
          </cell>
        </row>
        <row r="22">
          <cell r="A22" t="str">
            <v>Unidad Administrativa Especial de Servicios Públicos - UAESP</v>
          </cell>
          <cell r="E22" t="str">
            <v>Enramada Cobertizo Caneye</v>
          </cell>
          <cell r="G22" t="str">
            <v>Recreacional Público</v>
          </cell>
          <cell r="N22" t="str">
            <v>001203, Caracas</v>
          </cell>
        </row>
        <row r="23">
          <cell r="A23" t="str">
            <v>Veeduría Distrital</v>
          </cell>
          <cell r="E23" t="str">
            <v>Estación de Combustible</v>
          </cell>
          <cell r="G23" t="str">
            <v>Residencial</v>
          </cell>
          <cell r="N23" t="str">
            <v>001204, Ciudad Jardín Sur</v>
          </cell>
        </row>
        <row r="24">
          <cell r="E24" t="str">
            <v>Hotel</v>
          </cell>
          <cell r="G24" t="str">
            <v>Tierras Improductivas</v>
          </cell>
          <cell r="N24" t="str">
            <v>001205, Sociego</v>
          </cell>
        </row>
        <row r="25">
          <cell r="E25" t="str">
            <v>Iglesia</v>
          </cell>
          <cell r="G25" t="str">
            <v>Urbanizable No Urbanizado</v>
          </cell>
          <cell r="N25" t="str">
            <v>001206, Quinta Ramos</v>
          </cell>
        </row>
        <row r="26">
          <cell r="E26" t="str">
            <v>Industria Grande</v>
          </cell>
          <cell r="G26" t="str">
            <v>Urbanizado No Edificado</v>
          </cell>
          <cell r="N26" t="str">
            <v>001207, Nariño Sur</v>
          </cell>
        </row>
        <row r="27">
          <cell r="E27" t="str">
            <v>Industria Mediana</v>
          </cell>
          <cell r="G27" t="str">
            <v>Urbanizado No Edificado Propiedad del Estado</v>
          </cell>
          <cell r="N27" t="str">
            <v>001208, La Hortua</v>
          </cell>
        </row>
        <row r="28">
          <cell r="E28" t="str">
            <v>Instalación Militar</v>
          </cell>
          <cell r="G28" t="str">
            <v>Vía</v>
          </cell>
          <cell r="N28" t="str">
            <v>001209, Modelo Sur</v>
          </cell>
        </row>
        <row r="29">
          <cell r="E29" t="str">
            <v>Institucional</v>
          </cell>
          <cell r="G29" t="str">
            <v>Otros</v>
          </cell>
          <cell r="N29" t="str">
            <v>001210, Calvo Sur</v>
          </cell>
        </row>
        <row r="30">
          <cell r="E30" t="str">
            <v>Local</v>
          </cell>
          <cell r="N30" t="str">
            <v>001211, Policarpa</v>
          </cell>
        </row>
        <row r="31">
          <cell r="E31" t="str">
            <v>Lote de terreno</v>
          </cell>
          <cell r="N31" t="str">
            <v>001301, Granada Sur</v>
          </cell>
        </row>
        <row r="32">
          <cell r="E32" t="str">
            <v>Lote de terreno y construcción</v>
          </cell>
          <cell r="N32" t="str">
            <v>001302, Montebello</v>
          </cell>
        </row>
        <row r="33">
          <cell r="E33" t="str">
            <v>Motel Amoblado y Residencia</v>
          </cell>
          <cell r="N33" t="str">
            <v>001303, Cordoba</v>
          </cell>
        </row>
        <row r="34">
          <cell r="E34" t="str">
            <v>Museo</v>
          </cell>
          <cell r="N34" t="str">
            <v>001304, Bello Horizonte</v>
          </cell>
        </row>
        <row r="35">
          <cell r="E35" t="str">
            <v>Oficinas</v>
          </cell>
          <cell r="N35" t="str">
            <v>001305, Atenas</v>
          </cell>
        </row>
        <row r="36">
          <cell r="E36" t="str">
            <v>Parqueadero</v>
          </cell>
          <cell r="N36" t="str">
            <v>001306, San Pedro</v>
          </cell>
        </row>
        <row r="37">
          <cell r="E37" t="str">
            <v>Parque</v>
          </cell>
          <cell r="N37" t="str">
            <v>001307, Ramajal</v>
          </cell>
        </row>
        <row r="38">
          <cell r="E38" t="str">
            <v>Piscina</v>
          </cell>
          <cell r="N38" t="str">
            <v>001308, Santa Inés Sur</v>
          </cell>
        </row>
        <row r="39">
          <cell r="E39" t="str">
            <v>Plaza de Mercado</v>
          </cell>
          <cell r="N39" t="str">
            <v>001309, San Vicente</v>
          </cell>
        </row>
        <row r="40">
          <cell r="A40" t="str">
            <v>UPZ 1 Paseo de Los Libertadores</v>
          </cell>
          <cell r="E40" t="str">
            <v>Residencial</v>
          </cell>
          <cell r="N40" t="str">
            <v>001310, La Victoria</v>
          </cell>
        </row>
        <row r="41">
          <cell r="A41" t="str">
            <v>UPZ 2 La Academia</v>
          </cell>
          <cell r="E41" t="str">
            <v>Residencial y Comercial</v>
          </cell>
          <cell r="N41" t="str">
            <v>001311, La Gloria Occidental</v>
          </cell>
        </row>
        <row r="42">
          <cell r="A42" t="str">
            <v>UPZ 3 Guaymaral</v>
          </cell>
          <cell r="E42" t="str">
            <v>Restaurante</v>
          </cell>
          <cell r="N42" t="str">
            <v>001312, Los Alpes</v>
          </cell>
        </row>
        <row r="43">
          <cell r="A43" t="str">
            <v>UPZ 9 Verbenal</v>
          </cell>
          <cell r="E43" t="str">
            <v>Teatro y Cinema</v>
          </cell>
          <cell r="N43" t="str">
            <v>001313, Bellavista Sur</v>
          </cell>
        </row>
        <row r="44">
          <cell r="A44" t="str">
            <v>UPZ 10 La Uribe</v>
          </cell>
          <cell r="E44" t="str">
            <v>Universidad</v>
          </cell>
          <cell r="N44" t="str">
            <v>001314, San Jose Sur Oriental</v>
          </cell>
        </row>
        <row r="45">
          <cell r="A45" t="str">
            <v>UPZ 11 San Cristóbal Norte</v>
          </cell>
          <cell r="E45" t="str">
            <v>Otro</v>
          </cell>
          <cell r="N45" t="str">
            <v>001315, Altamira</v>
          </cell>
        </row>
        <row r="46">
          <cell r="A46" t="str">
            <v>UPZ 12 Toberín</v>
          </cell>
          <cell r="N46" t="str">
            <v>001316, Moralba</v>
          </cell>
        </row>
        <row r="47">
          <cell r="A47" t="str">
            <v>UPZ 13 Los Cedros</v>
          </cell>
          <cell r="N47" t="str">
            <v>001317, Puente Colorado</v>
          </cell>
        </row>
        <row r="48">
          <cell r="A48" t="str">
            <v>UPZ 14 Usaquén</v>
          </cell>
          <cell r="N48" t="str">
            <v>001318, Quindío</v>
          </cell>
        </row>
        <row r="49">
          <cell r="A49" t="str">
            <v>UPZ 15 Country Club</v>
          </cell>
          <cell r="N49" t="str">
            <v>001319, La Gloria Oriental</v>
          </cell>
        </row>
        <row r="50">
          <cell r="A50" t="str">
            <v>UPZ 16 Santa Bárbara</v>
          </cell>
          <cell r="N50" t="str">
            <v>001320, Nueva Gloria</v>
          </cell>
        </row>
        <row r="51">
          <cell r="A51" t="str">
            <v>UPZ 17 San Jose de Bavaria</v>
          </cell>
          <cell r="N51" t="str">
            <v>001321, San Martín Sur</v>
          </cell>
        </row>
        <row r="52">
          <cell r="A52" t="str">
            <v>UPZ 18 Britalia</v>
          </cell>
          <cell r="N52" t="str">
            <v>001322, San Rafael Usme</v>
          </cell>
        </row>
        <row r="53">
          <cell r="A53" t="str">
            <v>UPZ 19 El Prado</v>
          </cell>
          <cell r="N53" t="str">
            <v>001323, Nueva Delhi</v>
          </cell>
        </row>
        <row r="54">
          <cell r="A54" t="str">
            <v>UPZ 20 La Alhambra</v>
          </cell>
          <cell r="N54" t="str">
            <v>001324, El Pinar</v>
          </cell>
        </row>
        <row r="55">
          <cell r="A55" t="str">
            <v>UPZ 21 Los Andes</v>
          </cell>
          <cell r="N55" t="str">
            <v>001325, Juan Rey (La Paz)</v>
          </cell>
        </row>
        <row r="56">
          <cell r="A56" t="str">
            <v>UPZ 22 Doce de Octubre</v>
          </cell>
          <cell r="N56" t="str">
            <v>001327, Los Libertadores</v>
          </cell>
        </row>
        <row r="57">
          <cell r="A57" t="str">
            <v>UPZ 23 Casa Blanca Suba</v>
          </cell>
          <cell r="N57" t="str">
            <v>001328, Santa Rita Sur Oriental</v>
          </cell>
        </row>
        <row r="58">
          <cell r="A58" t="str">
            <v>UPZ 24 Niza</v>
          </cell>
          <cell r="N58" t="str">
            <v>001329, El Paraíso</v>
          </cell>
        </row>
        <row r="59">
          <cell r="A59" t="str">
            <v>UPZ 25 La Floresta</v>
          </cell>
          <cell r="N59" t="str">
            <v>001330, Canadá o Guira</v>
          </cell>
        </row>
        <row r="60">
          <cell r="A60" t="str">
            <v>UPZ 26 Las Ferias</v>
          </cell>
          <cell r="N60" t="str">
            <v>001331, Altos del Zuque</v>
          </cell>
        </row>
        <row r="61">
          <cell r="A61" t="str">
            <v>UPZ 27 Suba</v>
          </cell>
          <cell r="N61" t="str">
            <v>001332, Villabel</v>
          </cell>
        </row>
        <row r="62">
          <cell r="A62" t="str">
            <v>UPZ 28 El Rincón</v>
          </cell>
          <cell r="N62" t="str">
            <v>001333, Altos del Poblado</v>
          </cell>
        </row>
        <row r="63">
          <cell r="A63" t="str">
            <v>UPZ 29 Minuto de Dios</v>
          </cell>
          <cell r="N63" t="str">
            <v>001334, Las Gaviotas</v>
          </cell>
        </row>
        <row r="64">
          <cell r="A64" t="str">
            <v>UPZ 30 Boyaca Real</v>
          </cell>
          <cell r="N64" t="str">
            <v>001335, Villa Diana</v>
          </cell>
        </row>
        <row r="65">
          <cell r="A65" t="str">
            <v>UPZ 31 Santa Cecilia</v>
          </cell>
          <cell r="N65" t="str">
            <v>001336, Juan Jose Rondon I</v>
          </cell>
        </row>
        <row r="66">
          <cell r="A66" t="str">
            <v>UPZ 32 San Blas</v>
          </cell>
          <cell r="N66" t="str">
            <v>001337, San Pedro Sur</v>
          </cell>
        </row>
        <row r="67">
          <cell r="A67" t="str">
            <v>UPZ 33 Sosiego</v>
          </cell>
          <cell r="N67" t="str">
            <v>001338, La Belleza</v>
          </cell>
        </row>
        <row r="68">
          <cell r="A68" t="str">
            <v>UPZ 34 20 de Julio</v>
          </cell>
          <cell r="N68" t="str">
            <v>001339, Bosque de Los Alpes</v>
          </cell>
        </row>
        <row r="69">
          <cell r="A69" t="str">
            <v>UPZ 35 Ciudad Jardín</v>
          </cell>
          <cell r="N69" t="str">
            <v>001340, Tihuaque</v>
          </cell>
        </row>
        <row r="70">
          <cell r="A70" t="str">
            <v>UPZ 36 San Jose</v>
          </cell>
          <cell r="N70" t="str">
            <v>001342, Altos del Zipa</v>
          </cell>
        </row>
        <row r="71">
          <cell r="A71" t="str">
            <v>UPZ 37 Santa Isabel</v>
          </cell>
          <cell r="N71" t="str">
            <v>001344, Los Soches</v>
          </cell>
        </row>
        <row r="72">
          <cell r="A72" t="str">
            <v>UPZ 38 Restrepo</v>
          </cell>
          <cell r="N72" t="str">
            <v>001345, Dona Liliana</v>
          </cell>
        </row>
        <row r="73">
          <cell r="A73" t="str">
            <v>UPZ 39 Quiroga</v>
          </cell>
          <cell r="N73" t="str">
            <v>001346, Ciudad Londres I</v>
          </cell>
        </row>
        <row r="74">
          <cell r="A74" t="str">
            <v>UPZ 40 Ciudad Montes</v>
          </cell>
          <cell r="N74" t="str">
            <v>001347, Juan Rey Sur</v>
          </cell>
        </row>
        <row r="75">
          <cell r="A75" t="str">
            <v>UPZ 41 Muzú</v>
          </cell>
          <cell r="N75" t="str">
            <v>001348, La Cabana</v>
          </cell>
        </row>
        <row r="76">
          <cell r="A76" t="str">
            <v>UPZ 42 Venecia</v>
          </cell>
          <cell r="N76" t="str">
            <v>001349, Ciudad Londres</v>
          </cell>
        </row>
        <row r="77">
          <cell r="A77" t="str">
            <v>UPZ 43 San Rafael</v>
          </cell>
          <cell r="N77" t="str">
            <v>001350, Yomasa</v>
          </cell>
        </row>
        <row r="78">
          <cell r="A78" t="str">
            <v>UPZ 44 Americas</v>
          </cell>
          <cell r="N78" t="str">
            <v>001352, Guacamayas II</v>
          </cell>
        </row>
        <row r="79">
          <cell r="A79" t="str">
            <v>UPZ 45 Carvajal</v>
          </cell>
          <cell r="N79" t="str">
            <v>001353, Guacamayas IV</v>
          </cell>
        </row>
        <row r="80">
          <cell r="A80" t="str">
            <v>UPZ 46 Castilla</v>
          </cell>
          <cell r="N80" t="str">
            <v>001354, Guacamayas III</v>
          </cell>
        </row>
        <row r="81">
          <cell r="A81" t="str">
            <v>UPZ 47 Kennedy Central</v>
          </cell>
          <cell r="N81" t="str">
            <v>001355, Las Guacamayas I</v>
          </cell>
        </row>
        <row r="82">
          <cell r="A82" t="str">
            <v>UPZ 48 Timiza</v>
          </cell>
          <cell r="N82" t="str">
            <v>001356, Villa del Cerro</v>
          </cell>
        </row>
        <row r="83">
          <cell r="A83" t="str">
            <v>UPZ 49 Apogeo</v>
          </cell>
          <cell r="N83" t="str">
            <v>001357, Santa Inés Sur II</v>
          </cell>
        </row>
        <row r="84">
          <cell r="A84" t="str">
            <v>UPZ 50 La Gloria</v>
          </cell>
          <cell r="N84" t="str">
            <v>001358, Chiguaza Urbano</v>
          </cell>
        </row>
        <row r="85">
          <cell r="A85" t="str">
            <v>UPZ 51 Los Libertadores</v>
          </cell>
          <cell r="N85" t="str">
            <v>001362, Arboleda Santa Teresita</v>
          </cell>
        </row>
        <row r="86">
          <cell r="A86" t="str">
            <v>UPZ 52 La Flora</v>
          </cell>
          <cell r="N86" t="str">
            <v>001401, San Jose Sur</v>
          </cell>
        </row>
        <row r="87">
          <cell r="A87" t="str">
            <v>UPZ 52 La Flora</v>
          </cell>
          <cell r="N87" t="str">
            <v>001402, Gustavo Restrepo</v>
          </cell>
        </row>
        <row r="88">
          <cell r="A88" t="str">
            <v>UPZ 53 Marco Fidel Suarez</v>
          </cell>
          <cell r="N88" t="str">
            <v>001403, Hospital San Carlos</v>
          </cell>
        </row>
        <row r="89">
          <cell r="A89" t="str">
            <v>UPZ 54 Marruecos</v>
          </cell>
          <cell r="N89" t="str">
            <v>001404, Sosiego Sur</v>
          </cell>
        </row>
        <row r="90">
          <cell r="A90" t="str">
            <v>UPZ 55 Diana Turbay</v>
          </cell>
          <cell r="N90" t="str">
            <v>001405, Veinte de Julio</v>
          </cell>
        </row>
        <row r="91">
          <cell r="A91" t="str">
            <v>UPZ 56 Danubio</v>
          </cell>
          <cell r="N91" t="str">
            <v>001406, San Isidro</v>
          </cell>
        </row>
        <row r="92">
          <cell r="A92" t="str">
            <v>UPZ 57 Gran Yomasa</v>
          </cell>
          <cell r="N92" t="str">
            <v>001407, Suramérica</v>
          </cell>
        </row>
        <row r="93">
          <cell r="A93" t="str">
            <v>UPZ 58 Comuneros</v>
          </cell>
          <cell r="N93" t="str">
            <v>001408, Villa de Los Alpes</v>
          </cell>
        </row>
        <row r="94">
          <cell r="A94" t="str">
            <v>UPZ 59 Alfonso Lopez</v>
          </cell>
          <cell r="N94" t="str">
            <v>001409, Las Lomas</v>
          </cell>
        </row>
        <row r="95">
          <cell r="A95" t="str">
            <v>UPZ 60 Parque Entrenubes</v>
          </cell>
          <cell r="N95" t="str">
            <v>001410, Marco Fidel Suarez</v>
          </cell>
        </row>
        <row r="96">
          <cell r="A96" t="str">
            <v>UPZ 60 Parque Entrenubes</v>
          </cell>
          <cell r="N96" t="str">
            <v>001411, San Jorge Sur</v>
          </cell>
        </row>
        <row r="97">
          <cell r="A97" t="str">
            <v>UPZ 61 Ciudad Usme</v>
          </cell>
          <cell r="N97" t="str">
            <v>001412, Granjas San Pablo</v>
          </cell>
        </row>
        <row r="98">
          <cell r="A98" t="str">
            <v>UPZ 62 Tunjuelito</v>
          </cell>
          <cell r="N98" t="str">
            <v>001413, La Resurreccion</v>
          </cell>
        </row>
        <row r="99">
          <cell r="A99" t="str">
            <v>UPZ 63 El Mochuelo</v>
          </cell>
          <cell r="N99" t="str">
            <v>001414, Molinos del Sur</v>
          </cell>
        </row>
        <row r="100">
          <cell r="A100" t="str">
            <v>UPZ 64 Monte Blanco</v>
          </cell>
          <cell r="N100" t="str">
            <v>001415, Marco Fidel Suarez I</v>
          </cell>
        </row>
        <row r="101">
          <cell r="A101" t="str">
            <v>UPZ 65 Arborizadora</v>
          </cell>
          <cell r="N101" t="str">
            <v>001416, San Agustin</v>
          </cell>
        </row>
        <row r="102">
          <cell r="A102" t="str">
            <v>UPZ 66 San Francisco</v>
          </cell>
          <cell r="N102" t="str">
            <v>001417, Los Molinos</v>
          </cell>
        </row>
        <row r="103">
          <cell r="A103" t="str">
            <v>UPZ 67 Lucero</v>
          </cell>
          <cell r="N103" t="str">
            <v>001418, Marruecos</v>
          </cell>
        </row>
        <row r="104">
          <cell r="A104" t="str">
            <v>UPZ 68 El Tesoro</v>
          </cell>
          <cell r="N104" t="str">
            <v>001419, Callejon Santa Bárbara</v>
          </cell>
        </row>
        <row r="105">
          <cell r="A105" t="str">
            <v>UPZ 69 Ismael Perdomo</v>
          </cell>
          <cell r="N105" t="str">
            <v>001420, El Playón</v>
          </cell>
        </row>
        <row r="106">
          <cell r="A106" t="str">
            <v>UPZ 70 Jerusalem</v>
          </cell>
          <cell r="N106" t="str">
            <v>001421, Diana Turbay</v>
          </cell>
        </row>
        <row r="107">
          <cell r="A107" t="str">
            <v>UPZ 71 Tibabuyes</v>
          </cell>
          <cell r="N107" t="str">
            <v>001422, Diana Turbay Arrayanes</v>
          </cell>
        </row>
        <row r="108">
          <cell r="A108" t="str">
            <v>UPZ 72 Bolivia</v>
          </cell>
          <cell r="N108" t="str">
            <v>001423, Arboleda Sur</v>
          </cell>
        </row>
        <row r="109">
          <cell r="A109" t="str">
            <v>UPZ 73 Garces Navas</v>
          </cell>
          <cell r="N109" t="str">
            <v>001424, Barcelona Sur</v>
          </cell>
        </row>
        <row r="110">
          <cell r="A110" t="str">
            <v>UPZ 74 Engativá</v>
          </cell>
          <cell r="N110" t="str">
            <v>001425, Granjas de Santa Sofia</v>
          </cell>
        </row>
        <row r="111">
          <cell r="A111" t="str">
            <v>UPZ 75 Fontibón</v>
          </cell>
          <cell r="N111" t="str">
            <v>001426, San Luis</v>
          </cell>
        </row>
        <row r="112">
          <cell r="A112" t="str">
            <v>UPZ 76 Fontibón San Pablo</v>
          </cell>
          <cell r="N112" t="str">
            <v>001427, Puerto Rico</v>
          </cell>
        </row>
        <row r="113">
          <cell r="A113" t="str">
            <v>UPZ 77 Zona Franca</v>
          </cell>
          <cell r="N113" t="str">
            <v>001428, Cerros de Oriente</v>
          </cell>
        </row>
        <row r="114">
          <cell r="A114" t="str">
            <v>UPZ 78 Tintal Norte</v>
          </cell>
          <cell r="N114" t="str">
            <v>001429, Guiparma</v>
          </cell>
        </row>
        <row r="115">
          <cell r="A115" t="str">
            <v>UPZ 79 Calandaima</v>
          </cell>
          <cell r="N115" t="str">
            <v>001430, Villa de Los Alpes I</v>
          </cell>
        </row>
        <row r="116">
          <cell r="A116" t="str">
            <v>UPZ 80 Corabastos</v>
          </cell>
          <cell r="N116" t="str">
            <v>001431, La Resurreccion I</v>
          </cell>
        </row>
        <row r="117">
          <cell r="A117" t="str">
            <v>UPZ 81 Gran Britalia</v>
          </cell>
          <cell r="N117" t="str">
            <v>001432, Diana Turbay Cultivos</v>
          </cell>
        </row>
        <row r="118">
          <cell r="A118" t="str">
            <v>UPZ 82 Patio Bonito</v>
          </cell>
          <cell r="N118" t="str">
            <v>001434, Carmen del Sol</v>
          </cell>
        </row>
        <row r="119">
          <cell r="A119" t="str">
            <v>UPZ 83 Las Margaritas</v>
          </cell>
          <cell r="N119" t="str">
            <v>001435, Los Arrayanes II</v>
          </cell>
        </row>
        <row r="120">
          <cell r="A120" t="str">
            <v>UPZ 84 Bosa Occidental</v>
          </cell>
          <cell r="N120" t="str">
            <v>002101, La Fraguita</v>
          </cell>
        </row>
        <row r="121">
          <cell r="A121" t="str">
            <v>UPZ 85 Bosa Central</v>
          </cell>
          <cell r="N121" t="str">
            <v>002102, San Antonio</v>
          </cell>
        </row>
        <row r="122">
          <cell r="A122" t="str">
            <v>UPZ 86 El Porvenir</v>
          </cell>
          <cell r="N122" t="str">
            <v>002103, Restrepo</v>
          </cell>
        </row>
        <row r="123">
          <cell r="A123" t="str">
            <v>UPZ 87 Tintal Sur</v>
          </cell>
          <cell r="N123" t="str">
            <v>002104, Restrepo Occidental</v>
          </cell>
        </row>
        <row r="124">
          <cell r="A124" t="str">
            <v>UPZ 88 El Refugio</v>
          </cell>
          <cell r="N124" t="str">
            <v>002105, Santander</v>
          </cell>
        </row>
        <row r="125">
          <cell r="A125" t="str">
            <v>UPZ 89 San Isidro - Patios</v>
          </cell>
          <cell r="N125" t="str">
            <v>002106, Sena</v>
          </cell>
        </row>
        <row r="126">
          <cell r="A126" t="str">
            <v>UPZ 90 Pardo Rubio</v>
          </cell>
          <cell r="N126" t="str">
            <v>002107, La Fragua</v>
          </cell>
        </row>
        <row r="127">
          <cell r="A127" t="str">
            <v>UPZ 91 Sagrado Corazon</v>
          </cell>
          <cell r="N127" t="str">
            <v>002201, Olaya</v>
          </cell>
        </row>
        <row r="128">
          <cell r="A128" t="str">
            <v>UPZ 92 La Macarena</v>
          </cell>
          <cell r="N128" t="str">
            <v>002202, Quiroga</v>
          </cell>
        </row>
        <row r="129">
          <cell r="A129" t="str">
            <v>UPZ 93 Las Nieves</v>
          </cell>
          <cell r="N129" t="str">
            <v>002203, Quiroga Central</v>
          </cell>
        </row>
        <row r="130">
          <cell r="A130" t="str">
            <v>UPZ 94 La Candelaria</v>
          </cell>
          <cell r="N130" t="str">
            <v>002204, Quiroga Sur</v>
          </cell>
        </row>
        <row r="131">
          <cell r="A131" t="str">
            <v>UPZ 95 Las Cruces</v>
          </cell>
          <cell r="N131" t="str">
            <v>002205, Santa Lucía</v>
          </cell>
        </row>
        <row r="132">
          <cell r="A132" t="str">
            <v>UPZ 96 Lourdes</v>
          </cell>
          <cell r="N132" t="str">
            <v>002209, Quiroga I</v>
          </cell>
        </row>
        <row r="133">
          <cell r="A133" t="str">
            <v>UPZ 97 Chicó Lago</v>
          </cell>
          <cell r="N133" t="str">
            <v>002301, Eduardo Frey</v>
          </cell>
        </row>
        <row r="134">
          <cell r="A134" t="str">
            <v>UPZ 98 Los Alcázares</v>
          </cell>
          <cell r="N134" t="str">
            <v>002302, Santander Sur</v>
          </cell>
        </row>
        <row r="135">
          <cell r="A135" t="str">
            <v>UPZ 99 Chapinero</v>
          </cell>
          <cell r="N135" t="str">
            <v>002303, Centenario</v>
          </cell>
        </row>
        <row r="136">
          <cell r="A136" t="str">
            <v>UPZ 100 Galerías</v>
          </cell>
          <cell r="N136" t="str">
            <v>002304, Santiago Perez</v>
          </cell>
        </row>
        <row r="137">
          <cell r="A137" t="str">
            <v>UPZ 101 Teusaquillo</v>
          </cell>
          <cell r="N137" t="str">
            <v>002305, Libertador</v>
          </cell>
        </row>
        <row r="138">
          <cell r="A138" t="str">
            <v>UPZ 102 La Sabana</v>
          </cell>
          <cell r="N138" t="str">
            <v>002306, Bravo Paez</v>
          </cell>
        </row>
        <row r="139">
          <cell r="A139" t="str">
            <v>UPZ 103 Parque Salitre</v>
          </cell>
          <cell r="N139" t="str">
            <v>002307, Ingles</v>
          </cell>
        </row>
        <row r="140">
          <cell r="A140" t="str">
            <v>UPZ 104 Parque Simon Bolívar - Can</v>
          </cell>
          <cell r="N140" t="str">
            <v>002308, Claret</v>
          </cell>
        </row>
        <row r="141">
          <cell r="A141" t="str">
            <v>UPZ 105 Jardín Botanico</v>
          </cell>
          <cell r="N141" t="str">
            <v>002309, Villa Mayor Oriental</v>
          </cell>
        </row>
        <row r="142">
          <cell r="A142" t="str">
            <v>UPZ 106 La Esmeralda</v>
          </cell>
          <cell r="N142" t="str">
            <v>002310, Murillo Toro</v>
          </cell>
        </row>
        <row r="143">
          <cell r="A143" t="str">
            <v>UPZ 107 Quinta Paredes</v>
          </cell>
          <cell r="N143" t="str">
            <v>002311, Villa Mayor</v>
          </cell>
        </row>
        <row r="144">
          <cell r="A144" t="str">
            <v>UPZ 108 Zona Industrial</v>
          </cell>
          <cell r="N144" t="str">
            <v>002401, Tunal Oriental</v>
          </cell>
        </row>
        <row r="145">
          <cell r="A145" t="str">
            <v>UPZ 109 Ciudad Salitre Oriental</v>
          </cell>
          <cell r="N145" t="str">
            <v>002402, San Vicente Ferrer</v>
          </cell>
        </row>
        <row r="146">
          <cell r="A146" t="str">
            <v>UPZ 110 Ciudad Salitre Occidental</v>
          </cell>
          <cell r="N146" t="str">
            <v>002403, Venecia Occidental</v>
          </cell>
        </row>
        <row r="147">
          <cell r="A147" t="str">
            <v>UPZ 111 Puente Aranda</v>
          </cell>
          <cell r="N147" t="str">
            <v>002404, Venecia</v>
          </cell>
        </row>
        <row r="148">
          <cell r="A148" t="str">
            <v>UPZ 112 Granjas de Techo</v>
          </cell>
          <cell r="N148" t="str">
            <v>002405, Escuela General Santander</v>
          </cell>
        </row>
        <row r="149">
          <cell r="A149" t="str">
            <v>UPZ 113 Bavaria</v>
          </cell>
          <cell r="N149" t="str">
            <v>002406, Samore</v>
          </cell>
        </row>
        <row r="150">
          <cell r="A150" t="str">
            <v>UPZ 114 Modelia</v>
          </cell>
          <cell r="N150" t="str">
            <v>002407, El Carmen</v>
          </cell>
        </row>
        <row r="151">
          <cell r="A151" t="str">
            <v>UPZ 115 Capellania</v>
          </cell>
          <cell r="N151" t="str">
            <v>002408, Fátima</v>
          </cell>
        </row>
        <row r="152">
          <cell r="A152" t="str">
            <v>UPZ 116 Alamos</v>
          </cell>
          <cell r="N152" t="str">
            <v>002409, Nuevo Muzú</v>
          </cell>
        </row>
        <row r="153">
          <cell r="A153" t="str">
            <v>UPZ 117 Aeropuerto El Dorado</v>
          </cell>
          <cell r="N153" t="str">
            <v>002410, Parque El Tunal</v>
          </cell>
        </row>
        <row r="154">
          <cell r="N154" t="str">
            <v>002411, Isla del Sol</v>
          </cell>
        </row>
        <row r="155">
          <cell r="N155" t="str">
            <v>002412, Verona</v>
          </cell>
        </row>
        <row r="156">
          <cell r="N156" t="str">
            <v>002413, Muzú</v>
          </cell>
        </row>
        <row r="157">
          <cell r="N157" t="str">
            <v>002414, Ismael Perdomo</v>
          </cell>
        </row>
        <row r="158">
          <cell r="N158" t="str">
            <v>002415, Madelena</v>
          </cell>
        </row>
        <row r="159">
          <cell r="N159" t="str">
            <v>002416, El Ensueno</v>
          </cell>
        </row>
        <row r="160">
          <cell r="N160" t="str">
            <v>002417, Barlovento</v>
          </cell>
        </row>
        <row r="161">
          <cell r="N161" t="str">
            <v>002418, La Estancia</v>
          </cell>
        </row>
        <row r="162">
          <cell r="N162" t="str">
            <v>002419, Rincón de La Valvanera</v>
          </cell>
        </row>
        <row r="163">
          <cell r="N163" t="str">
            <v>002420, La Coruna</v>
          </cell>
        </row>
        <row r="164">
          <cell r="N164" t="str">
            <v>002421, Rafael Escamilla</v>
          </cell>
        </row>
        <row r="165">
          <cell r="N165" t="str">
            <v>002422, Atlanta</v>
          </cell>
        </row>
        <row r="166">
          <cell r="N166" t="str">
            <v>002423, Espino</v>
          </cell>
        </row>
        <row r="167">
          <cell r="N167" t="str">
            <v>002424, Rincón de Galicia</v>
          </cell>
        </row>
        <row r="168">
          <cell r="N168" t="str">
            <v>002426, Santo Domingo</v>
          </cell>
        </row>
        <row r="169">
          <cell r="N169" t="str">
            <v>002427, Galicia</v>
          </cell>
        </row>
        <row r="170">
          <cell r="N170" t="str">
            <v>002428, Primavera II</v>
          </cell>
        </row>
        <row r="171">
          <cell r="N171" t="str">
            <v>002429, Maria Cano</v>
          </cell>
        </row>
        <row r="172">
          <cell r="N172" t="str">
            <v>002430, Las Brisas</v>
          </cell>
        </row>
        <row r="173">
          <cell r="N173" t="str">
            <v>002431, Potosi</v>
          </cell>
        </row>
        <row r="174">
          <cell r="N174" t="str">
            <v>002432, Arborizadora Baja</v>
          </cell>
        </row>
        <row r="175">
          <cell r="N175" t="str">
            <v>002433, El Penon del Cortijo</v>
          </cell>
        </row>
        <row r="176">
          <cell r="N176" t="str">
            <v>002434, Jerusalen</v>
          </cell>
        </row>
        <row r="177">
          <cell r="N177" t="str">
            <v>002435, El Chircal Sur</v>
          </cell>
        </row>
        <row r="178">
          <cell r="N178" t="str">
            <v>002436, Bellavista</v>
          </cell>
        </row>
        <row r="179">
          <cell r="N179" t="str">
            <v>002437, La Pradera</v>
          </cell>
        </row>
        <row r="180">
          <cell r="N180" t="str">
            <v>002438, Sierra Morena</v>
          </cell>
        </row>
        <row r="181">
          <cell r="N181" t="str">
            <v>002439, Sierra Morena</v>
          </cell>
        </row>
        <row r="182">
          <cell r="N182" t="str">
            <v>002440, Sierra Morena</v>
          </cell>
        </row>
        <row r="183">
          <cell r="N183" t="str">
            <v>002441, Los Tres Reyes I</v>
          </cell>
        </row>
        <row r="184">
          <cell r="N184" t="str">
            <v>002442, Santa Viviana</v>
          </cell>
        </row>
        <row r="185">
          <cell r="N185" t="str">
            <v>002443, La Primavera I</v>
          </cell>
        </row>
        <row r="186">
          <cell r="N186" t="str">
            <v>002444, Sierra Morena II</v>
          </cell>
        </row>
        <row r="187">
          <cell r="N187" t="str">
            <v>002445, Caracolí</v>
          </cell>
        </row>
        <row r="188">
          <cell r="N188" t="str">
            <v>002446, Los Tres Reyes</v>
          </cell>
        </row>
        <row r="189">
          <cell r="N189" t="str">
            <v>002447, El Mirador de La Estancia</v>
          </cell>
        </row>
        <row r="190">
          <cell r="N190" t="str">
            <v>002448, Perdomo Alto</v>
          </cell>
        </row>
        <row r="191">
          <cell r="N191" t="str">
            <v>002449, Espino I</v>
          </cell>
        </row>
        <row r="192">
          <cell r="N192" t="str">
            <v>002450, Perdomo Alto</v>
          </cell>
        </row>
        <row r="193">
          <cell r="N193" t="str">
            <v>002451, San Antonio del Mirador</v>
          </cell>
        </row>
        <row r="194">
          <cell r="N194" t="str">
            <v>002453, Ciudad Bolívar</v>
          </cell>
        </row>
        <row r="195">
          <cell r="N195" t="str">
            <v>002455, La Valvanera</v>
          </cell>
        </row>
        <row r="196">
          <cell r="N196" t="str">
            <v>002456, Quiba I</v>
          </cell>
        </row>
        <row r="197">
          <cell r="N197" t="str">
            <v>002460, Arborizadora Alta I</v>
          </cell>
        </row>
        <row r="198">
          <cell r="N198" t="str">
            <v>002461, Arborizadora Alta II</v>
          </cell>
        </row>
        <row r="199">
          <cell r="N199" t="str">
            <v>002501, San Carlos</v>
          </cell>
        </row>
        <row r="200">
          <cell r="N200" t="str">
            <v>002502, Millan</v>
          </cell>
        </row>
        <row r="201">
          <cell r="N201" t="str">
            <v>002503, La Aurora</v>
          </cell>
        </row>
        <row r="202">
          <cell r="N202" t="str">
            <v>002504, Compartir</v>
          </cell>
        </row>
        <row r="203">
          <cell r="N203" t="str">
            <v>002505, Nuevo San Andres</v>
          </cell>
        </row>
        <row r="204">
          <cell r="N204" t="str">
            <v>002506, Gran Yomasa</v>
          </cell>
        </row>
        <row r="205">
          <cell r="N205" t="str">
            <v>002507, Abraham Lincoln</v>
          </cell>
        </row>
        <row r="206">
          <cell r="N206" t="str">
            <v>002508, Tunjuelito</v>
          </cell>
        </row>
        <row r="207">
          <cell r="N207" t="str">
            <v>002509, San Benito</v>
          </cell>
        </row>
        <row r="208">
          <cell r="N208" t="str">
            <v>002510, La Picota Oriental</v>
          </cell>
        </row>
        <row r="209">
          <cell r="N209" t="str">
            <v>002511, La Picota</v>
          </cell>
        </row>
        <row r="210">
          <cell r="N210" t="str">
            <v>002512, Area Artilleria</v>
          </cell>
        </row>
        <row r="211">
          <cell r="N211" t="str">
            <v>002513, Las Acacias</v>
          </cell>
        </row>
        <row r="212">
          <cell r="N212" t="str">
            <v>002514, Meissen</v>
          </cell>
        </row>
        <row r="213">
          <cell r="N213" t="str">
            <v>002515, San Francisco</v>
          </cell>
        </row>
        <row r="214">
          <cell r="N214" t="str">
            <v>002516, Mexico</v>
          </cell>
        </row>
        <row r="215">
          <cell r="N215" t="str">
            <v>002517, Lucero del Sur</v>
          </cell>
        </row>
        <row r="216">
          <cell r="N216" t="str">
            <v>002518, Ronda</v>
          </cell>
        </row>
        <row r="217">
          <cell r="N217" t="str">
            <v>002519, Danubio</v>
          </cell>
        </row>
        <row r="218">
          <cell r="N218" t="str">
            <v>002520, Las Manas</v>
          </cell>
        </row>
        <row r="219">
          <cell r="N219" t="str">
            <v>002521, Lucero Alto</v>
          </cell>
        </row>
        <row r="220">
          <cell r="N220" t="str">
            <v>002522, El Mochuelo Oriental</v>
          </cell>
        </row>
        <row r="221">
          <cell r="N221" t="str">
            <v>002523, La Alameda</v>
          </cell>
        </row>
        <row r="222">
          <cell r="N222" t="str">
            <v>002524, La Andrea</v>
          </cell>
        </row>
        <row r="223">
          <cell r="N223" t="str">
            <v>002525, Barranquillita</v>
          </cell>
        </row>
        <row r="224">
          <cell r="N224" t="str">
            <v>002526, Santa Librada</v>
          </cell>
        </row>
        <row r="225">
          <cell r="N225" t="str">
            <v>002527, La Cabana</v>
          </cell>
        </row>
        <row r="226">
          <cell r="N226" t="str">
            <v>002528, Santa Librada Norte</v>
          </cell>
        </row>
        <row r="227">
          <cell r="N227" t="str">
            <v>002529, Marichuela</v>
          </cell>
        </row>
        <row r="228">
          <cell r="N228" t="str">
            <v>002530, Quiba</v>
          </cell>
        </row>
        <row r="229">
          <cell r="N229" t="str">
            <v>002531, Candelaria La Nueva</v>
          </cell>
        </row>
        <row r="230">
          <cell r="N230" t="str">
            <v>002532, Quintas del Sur</v>
          </cell>
        </row>
        <row r="231">
          <cell r="N231" t="str">
            <v>002533, Sotavento</v>
          </cell>
        </row>
        <row r="232">
          <cell r="N232" t="str">
            <v>002534, Casa de Teja</v>
          </cell>
        </row>
        <row r="233">
          <cell r="N233" t="str">
            <v>002535, Palermo Sur</v>
          </cell>
        </row>
        <row r="234">
          <cell r="N234" t="str">
            <v>002536, Monteblanco</v>
          </cell>
        </row>
        <row r="235">
          <cell r="N235" t="str">
            <v>002537, Chuniza</v>
          </cell>
        </row>
        <row r="236">
          <cell r="N236" t="str">
            <v>002538, Usminia</v>
          </cell>
        </row>
        <row r="237">
          <cell r="N237" t="str">
            <v>002539, San Rafael</v>
          </cell>
        </row>
        <row r="238">
          <cell r="N238" t="str">
            <v>002540, Estrella del Sur</v>
          </cell>
        </row>
        <row r="239">
          <cell r="N239" t="str">
            <v>002541, Granada Sur</v>
          </cell>
        </row>
        <row r="240">
          <cell r="N240" t="str">
            <v>002542, Serranias</v>
          </cell>
        </row>
        <row r="241">
          <cell r="N241" t="str">
            <v>002543, Comuneros</v>
          </cell>
        </row>
        <row r="242">
          <cell r="N242" t="str">
            <v>002544, Los Laureles II</v>
          </cell>
        </row>
        <row r="243">
          <cell r="N243" t="str">
            <v>002545, El Satelite</v>
          </cell>
        </row>
        <row r="244">
          <cell r="N244" t="str">
            <v>002546, Naciones Unidas</v>
          </cell>
        </row>
        <row r="245">
          <cell r="N245" t="str">
            <v>002547, El Tesoro</v>
          </cell>
        </row>
        <row r="246">
          <cell r="N246" t="str">
            <v>002548, El Virrey</v>
          </cell>
        </row>
        <row r="247">
          <cell r="N247" t="str">
            <v>002549, Villa Gloria</v>
          </cell>
        </row>
        <row r="248">
          <cell r="N248" t="str">
            <v>002550, Duitama</v>
          </cell>
        </row>
        <row r="249">
          <cell r="N249" t="str">
            <v>002551, Alaska</v>
          </cell>
        </row>
        <row r="250">
          <cell r="N250" t="str">
            <v>002552, Juan Pablo II</v>
          </cell>
        </row>
        <row r="251">
          <cell r="N251" t="str">
            <v>002553, Sumapaz</v>
          </cell>
        </row>
        <row r="252">
          <cell r="N252" t="str">
            <v>002554, Gibraltar Sur</v>
          </cell>
        </row>
        <row r="253">
          <cell r="N253" t="str">
            <v>002555, San Juan Bautista</v>
          </cell>
        </row>
        <row r="254">
          <cell r="N254" t="str">
            <v>002556, Desarrollo Brazuelos I</v>
          </cell>
        </row>
        <row r="255">
          <cell r="N255" t="str">
            <v>002557, Juan Jose Rondon</v>
          </cell>
        </row>
        <row r="256">
          <cell r="N256" t="str">
            <v>002558, Villas El Diamante</v>
          </cell>
        </row>
        <row r="257">
          <cell r="N257" t="str">
            <v>002559, Los Alpes Sur</v>
          </cell>
        </row>
        <row r="258">
          <cell r="N258" t="str">
            <v>002560, Bellavista Lucero Alto</v>
          </cell>
        </row>
        <row r="259">
          <cell r="N259" t="str">
            <v>002561, Cordillera del Sur</v>
          </cell>
        </row>
        <row r="260">
          <cell r="N260" t="str">
            <v>002562, Central de Mezclas</v>
          </cell>
        </row>
        <row r="261">
          <cell r="N261" t="str">
            <v>002563, El Pedregal</v>
          </cell>
        </row>
        <row r="262">
          <cell r="N262" t="str">
            <v>002564, El Minuto de Maria</v>
          </cell>
        </row>
        <row r="263">
          <cell r="N263" t="str">
            <v>002565, Paraíso Quiba</v>
          </cell>
        </row>
        <row r="264">
          <cell r="N264" t="str">
            <v>002566, La Paz</v>
          </cell>
        </row>
        <row r="265">
          <cell r="N265" t="str">
            <v>002568, Arborizadora Alta</v>
          </cell>
        </row>
        <row r="266">
          <cell r="N266" t="str">
            <v>002569, Arborizadora Alta</v>
          </cell>
        </row>
        <row r="267">
          <cell r="N267" t="str">
            <v>002570, El Mirador</v>
          </cell>
        </row>
        <row r="268">
          <cell r="N268" t="str">
            <v>002571, Antonio Jose de Sucre</v>
          </cell>
        </row>
        <row r="269">
          <cell r="N269" t="str">
            <v>002572, Salazar Usme</v>
          </cell>
        </row>
        <row r="270">
          <cell r="N270" t="str">
            <v>002573, Arborizadora Alta</v>
          </cell>
        </row>
        <row r="271">
          <cell r="N271" t="str">
            <v>002574, Cedritos del Sur</v>
          </cell>
        </row>
        <row r="272">
          <cell r="N272" t="str">
            <v>002575, Cerro Colorado</v>
          </cell>
        </row>
        <row r="273">
          <cell r="N273" t="str">
            <v>002576, Serranias I</v>
          </cell>
        </row>
        <row r="274">
          <cell r="N274" t="str">
            <v>002577, Danubio II</v>
          </cell>
        </row>
        <row r="275">
          <cell r="N275" t="str">
            <v>002578, Arabia</v>
          </cell>
        </row>
        <row r="276">
          <cell r="N276" t="str">
            <v>002579, Villa Candelaria</v>
          </cell>
        </row>
        <row r="277">
          <cell r="N277" t="str">
            <v>002580, Bella Flor</v>
          </cell>
        </row>
        <row r="278">
          <cell r="N278" t="str">
            <v>002581, La Torre</v>
          </cell>
        </row>
        <row r="279">
          <cell r="N279" t="str">
            <v>002582, Bella Flor Sur</v>
          </cell>
        </row>
        <row r="280">
          <cell r="N280" t="str">
            <v>002583, Quiba Urbano</v>
          </cell>
        </row>
        <row r="281">
          <cell r="N281" t="str">
            <v>002584, El Mochuelo</v>
          </cell>
        </row>
        <row r="282">
          <cell r="N282" t="str">
            <v>002585, El Mochuelo Urbano</v>
          </cell>
        </row>
        <row r="283">
          <cell r="N283" t="str">
            <v>002586, Yomasa Norte</v>
          </cell>
        </row>
        <row r="284">
          <cell r="N284" t="str">
            <v>002587, Brisas del Volador</v>
          </cell>
        </row>
        <row r="285">
          <cell r="N285" t="str">
            <v>002588, El Mochuelo III Urbano</v>
          </cell>
        </row>
        <row r="286">
          <cell r="N286" t="str">
            <v>002589, Porvenir</v>
          </cell>
        </row>
        <row r="287">
          <cell r="N287" t="str">
            <v>002590, La Fiscala</v>
          </cell>
        </row>
        <row r="288">
          <cell r="N288" t="str">
            <v>002591, Brazuelos Occidental</v>
          </cell>
        </row>
        <row r="289">
          <cell r="N289" t="str">
            <v>002592, Desarrollo Brazuelos</v>
          </cell>
        </row>
        <row r="290">
          <cell r="N290" t="str">
            <v>002593, Tunjuelito</v>
          </cell>
        </row>
        <row r="291">
          <cell r="N291" t="str">
            <v>002594, Villa Israel</v>
          </cell>
        </row>
        <row r="292">
          <cell r="N292" t="str">
            <v>002595, Lagunitas Urbano</v>
          </cell>
        </row>
        <row r="293">
          <cell r="N293" t="str">
            <v>002596, Mochuelo Alto</v>
          </cell>
        </row>
        <row r="294">
          <cell r="N294" t="str">
            <v>002597, La Fiscala Norte</v>
          </cell>
        </row>
        <row r="295">
          <cell r="N295" t="str">
            <v>002598, El Mochuelo II Urbano</v>
          </cell>
        </row>
        <row r="296">
          <cell r="N296" t="str">
            <v>002599, Centro Usme Urbano</v>
          </cell>
        </row>
        <row r="297">
          <cell r="N297" t="str">
            <v>002601, Arrayanes I</v>
          </cell>
        </row>
        <row r="298">
          <cell r="N298" t="str">
            <v>002602, Fiscala Alta</v>
          </cell>
        </row>
        <row r="299">
          <cell r="N299" t="str">
            <v>002604, Los Olivares</v>
          </cell>
        </row>
        <row r="300">
          <cell r="N300" t="str">
            <v>002605, Bolonia</v>
          </cell>
        </row>
        <row r="301">
          <cell r="N301" t="str">
            <v>002606, El Curubo</v>
          </cell>
        </row>
        <row r="302">
          <cell r="N302" t="str">
            <v>002607, La Esperanza Sur</v>
          </cell>
        </row>
        <row r="303">
          <cell r="N303" t="str">
            <v>002608, El Bosque Central I</v>
          </cell>
        </row>
        <row r="304">
          <cell r="N304" t="str">
            <v>002609, El Bosque</v>
          </cell>
        </row>
        <row r="305">
          <cell r="N305" t="str">
            <v>002610, Chapinerito</v>
          </cell>
        </row>
        <row r="306">
          <cell r="N306" t="str">
            <v>002611, Charala</v>
          </cell>
        </row>
        <row r="307">
          <cell r="N307" t="str">
            <v>002612, La Comuna</v>
          </cell>
        </row>
        <row r="308">
          <cell r="N308" t="str">
            <v>002613, El Progreso Usme</v>
          </cell>
        </row>
        <row r="309">
          <cell r="N309" t="str">
            <v>002614, La Orquidea de Usme</v>
          </cell>
        </row>
        <row r="310">
          <cell r="N310" t="str">
            <v>002615, La Esperanza de Usme</v>
          </cell>
        </row>
        <row r="311">
          <cell r="N311" t="str">
            <v>002616, El Nuevo Portal</v>
          </cell>
        </row>
        <row r="312">
          <cell r="N312" t="str">
            <v>002617, El Refugio I</v>
          </cell>
        </row>
        <row r="313">
          <cell r="N313" t="str">
            <v>002618, Puerta Al Llano de Usme</v>
          </cell>
        </row>
        <row r="314">
          <cell r="N314" t="str">
            <v>002619, Villa Anita</v>
          </cell>
        </row>
        <row r="315">
          <cell r="N315" t="str">
            <v>002620, El Nuevo Portal II</v>
          </cell>
        </row>
        <row r="316">
          <cell r="N316" t="str">
            <v>002621, San Felipe de Usme</v>
          </cell>
        </row>
        <row r="317">
          <cell r="N317" t="str">
            <v>002622, Tocaimita Oriental I</v>
          </cell>
        </row>
        <row r="318">
          <cell r="N318" t="str">
            <v>002625, Arrayanes V</v>
          </cell>
        </row>
        <row r="319">
          <cell r="N319" t="str">
            <v>002626, Bolonia I</v>
          </cell>
        </row>
        <row r="320">
          <cell r="N320" t="str">
            <v>002627, La Reforma</v>
          </cell>
        </row>
        <row r="321">
          <cell r="N321" t="str">
            <v>002629, El Nevado II</v>
          </cell>
        </row>
        <row r="322">
          <cell r="N322" t="str">
            <v>002630, El Portal del Divino</v>
          </cell>
        </row>
        <row r="323">
          <cell r="N323" t="str">
            <v>002631, El Nevado</v>
          </cell>
        </row>
        <row r="324">
          <cell r="N324" t="str">
            <v>002632, La Requilina</v>
          </cell>
        </row>
        <row r="325">
          <cell r="N325" t="str">
            <v>002633, Las Violetas</v>
          </cell>
        </row>
        <row r="326">
          <cell r="N326" t="str">
            <v>002634, El Tuno</v>
          </cell>
        </row>
        <row r="327">
          <cell r="N327" t="str">
            <v>002635, Brisas del Llano</v>
          </cell>
        </row>
        <row r="328">
          <cell r="N328" t="str">
            <v>002636, La Huerta</v>
          </cell>
        </row>
        <row r="329">
          <cell r="N329" t="str">
            <v>002637, Arrayanes Vi</v>
          </cell>
        </row>
        <row r="330">
          <cell r="N330" t="str">
            <v>002640, El Pedregal II</v>
          </cell>
        </row>
        <row r="331">
          <cell r="N331" t="str">
            <v>002642, El Portal Urbano</v>
          </cell>
        </row>
        <row r="332">
          <cell r="N332" t="str">
            <v>003101, La Alameda</v>
          </cell>
        </row>
        <row r="333">
          <cell r="N333" t="str">
            <v>003102, Las Nieves</v>
          </cell>
        </row>
        <row r="334">
          <cell r="N334" t="str">
            <v>003103, Las Aguas</v>
          </cell>
        </row>
        <row r="335">
          <cell r="N335" t="str">
            <v>003104, La Concordia</v>
          </cell>
        </row>
        <row r="336">
          <cell r="N336" t="str">
            <v>003105, Egipto</v>
          </cell>
        </row>
        <row r="337">
          <cell r="N337" t="str">
            <v>003106, Centro Administrativo</v>
          </cell>
        </row>
        <row r="338">
          <cell r="N338" t="str">
            <v>003107, Santa Inés</v>
          </cell>
        </row>
        <row r="339">
          <cell r="N339" t="str">
            <v>003108, La Capuchina</v>
          </cell>
        </row>
        <row r="340">
          <cell r="N340" t="str">
            <v>003109, Veracruz</v>
          </cell>
        </row>
        <row r="341">
          <cell r="N341" t="str">
            <v>003110, La Catedral</v>
          </cell>
        </row>
        <row r="342">
          <cell r="N342" t="str">
            <v>003201, San Bernardino</v>
          </cell>
        </row>
        <row r="343">
          <cell r="N343" t="str">
            <v>003202, Las Cruces</v>
          </cell>
        </row>
        <row r="344">
          <cell r="N344" t="str">
            <v>003203, Santa Bárbara</v>
          </cell>
        </row>
        <row r="345">
          <cell r="N345" t="str">
            <v>003204, Belen</v>
          </cell>
        </row>
        <row r="346">
          <cell r="N346" t="str">
            <v>003205, El Guavio</v>
          </cell>
        </row>
        <row r="347">
          <cell r="N347" t="str">
            <v>003206, La Pena</v>
          </cell>
        </row>
        <row r="348">
          <cell r="N348" t="str">
            <v>003207, Los Laches</v>
          </cell>
        </row>
        <row r="349">
          <cell r="N349" t="str">
            <v>003208, El Rocio</v>
          </cell>
        </row>
        <row r="350">
          <cell r="N350" t="str">
            <v>003209, El Dorado</v>
          </cell>
        </row>
        <row r="351">
          <cell r="N351" t="str">
            <v>003210, Ramirez</v>
          </cell>
        </row>
        <row r="352">
          <cell r="N352" t="str">
            <v>003211, Girardot</v>
          </cell>
        </row>
        <row r="353">
          <cell r="N353" t="str">
            <v>003212, Lourdes</v>
          </cell>
        </row>
        <row r="354">
          <cell r="N354" t="str">
            <v>003215, San Francisco Rural</v>
          </cell>
        </row>
        <row r="355">
          <cell r="N355" t="str">
            <v>004101, Ricaurte</v>
          </cell>
        </row>
        <row r="356">
          <cell r="N356" t="str">
            <v>004102, La Sabana</v>
          </cell>
        </row>
        <row r="357">
          <cell r="N357" t="str">
            <v>004103, Voto Nacional</v>
          </cell>
        </row>
        <row r="358">
          <cell r="N358" t="str">
            <v>004104, La Estanzuela</v>
          </cell>
        </row>
        <row r="359">
          <cell r="N359" t="str">
            <v>004105, Eduardo Santos</v>
          </cell>
        </row>
        <row r="360">
          <cell r="N360" t="str">
            <v>004106, El Vergel</v>
          </cell>
        </row>
        <row r="361">
          <cell r="N361" t="str">
            <v>004107, Santa Isabel Sur</v>
          </cell>
        </row>
        <row r="362">
          <cell r="N362" t="str">
            <v>004108, Santa Isabel</v>
          </cell>
        </row>
        <row r="363">
          <cell r="N363" t="str">
            <v>004109, Veraguas</v>
          </cell>
        </row>
        <row r="364">
          <cell r="N364" t="str">
            <v>004110, La Pepita</v>
          </cell>
        </row>
        <row r="365">
          <cell r="N365" t="str">
            <v>004111, El Progreso</v>
          </cell>
        </row>
        <row r="366">
          <cell r="N366" t="str">
            <v>004201, Pensilvania</v>
          </cell>
        </row>
        <row r="367">
          <cell r="N367" t="str">
            <v>004202, Comuneros</v>
          </cell>
        </row>
        <row r="368">
          <cell r="N368" t="str">
            <v>004203, La Asuncion</v>
          </cell>
        </row>
        <row r="369">
          <cell r="N369" t="str">
            <v>004204, Montes</v>
          </cell>
        </row>
        <row r="370">
          <cell r="N370" t="str">
            <v>004205, Primavera Occidental</v>
          </cell>
        </row>
        <row r="371">
          <cell r="N371" t="str">
            <v>004206, San Francisco</v>
          </cell>
        </row>
        <row r="372">
          <cell r="N372" t="str">
            <v>004207, Gorgonzola</v>
          </cell>
        </row>
        <row r="373">
          <cell r="N373" t="str">
            <v>004208, Los Ejidos</v>
          </cell>
        </row>
        <row r="374">
          <cell r="N374" t="str">
            <v>004209, Santa Matilde</v>
          </cell>
        </row>
        <row r="375">
          <cell r="N375" t="str">
            <v>004210, Jorge Gaitan Cortes</v>
          </cell>
        </row>
        <row r="376">
          <cell r="N376" t="str">
            <v>004211, Bochica</v>
          </cell>
        </row>
        <row r="377">
          <cell r="N377" t="str">
            <v>004212, Tibana</v>
          </cell>
        </row>
        <row r="378">
          <cell r="N378" t="str">
            <v>004301, San Rafael Industrial</v>
          </cell>
        </row>
        <row r="379">
          <cell r="N379" t="str">
            <v>004302, San Rafael</v>
          </cell>
        </row>
        <row r="380">
          <cell r="N380" t="str">
            <v>004303, Barcelona</v>
          </cell>
        </row>
        <row r="381">
          <cell r="N381" t="str">
            <v>004304, Galan</v>
          </cell>
        </row>
        <row r="382">
          <cell r="N382" t="str">
            <v>004305, La Pradera</v>
          </cell>
        </row>
        <row r="383">
          <cell r="N383" t="str">
            <v>004306, La Trinidad</v>
          </cell>
        </row>
        <row r="384">
          <cell r="N384" t="str">
            <v>004307, San Gabriel</v>
          </cell>
        </row>
        <row r="385">
          <cell r="N385" t="str">
            <v>004308, Colon</v>
          </cell>
        </row>
        <row r="386">
          <cell r="N386" t="str">
            <v>004309, La Camelia</v>
          </cell>
        </row>
        <row r="387">
          <cell r="N387" t="str">
            <v>004310, Provivienda Norte</v>
          </cell>
        </row>
        <row r="388">
          <cell r="N388" t="str">
            <v>004316, Las Margaritas</v>
          </cell>
        </row>
        <row r="389">
          <cell r="N389" t="str">
            <v>004317, La Camelia II</v>
          </cell>
        </row>
        <row r="390">
          <cell r="N390" t="str">
            <v>004401, San Eusebio</v>
          </cell>
        </row>
        <row r="391">
          <cell r="N391" t="str">
            <v>004402, Remanso</v>
          </cell>
        </row>
        <row r="392">
          <cell r="N392" t="str">
            <v>004403, Autopista Muzú</v>
          </cell>
        </row>
        <row r="393">
          <cell r="N393" t="str">
            <v>004404, Autopista Sur</v>
          </cell>
        </row>
        <row r="394">
          <cell r="N394" t="str">
            <v>004405, Ospina Pérez Sur</v>
          </cell>
        </row>
        <row r="395">
          <cell r="N395" t="str">
            <v>004406, Ospina Perez</v>
          </cell>
        </row>
        <row r="396">
          <cell r="N396" t="str">
            <v>004407, Alcala</v>
          </cell>
        </row>
        <row r="397">
          <cell r="N397" t="str">
            <v>004408, Tejar</v>
          </cell>
        </row>
        <row r="398">
          <cell r="N398" t="str">
            <v>004409, Alqueria</v>
          </cell>
        </row>
        <row r="399">
          <cell r="N399" t="str">
            <v>004412, Remanso Sur</v>
          </cell>
        </row>
        <row r="400">
          <cell r="N400" t="str">
            <v>004413, Autopista Muzú Oriental</v>
          </cell>
        </row>
        <row r="401">
          <cell r="N401" t="str">
            <v>004501, Hipotecho</v>
          </cell>
        </row>
        <row r="402">
          <cell r="N402" t="str">
            <v>004502, Hipotecho Occidental</v>
          </cell>
        </row>
        <row r="403">
          <cell r="N403" t="str">
            <v>004503, Provivienda Oriental</v>
          </cell>
        </row>
        <row r="404">
          <cell r="N404" t="str">
            <v>004504, Provivienda</v>
          </cell>
        </row>
        <row r="405">
          <cell r="N405" t="str">
            <v>004505, Provivienda Occidental</v>
          </cell>
        </row>
        <row r="406">
          <cell r="N406" t="str">
            <v>004506, La Campina</v>
          </cell>
        </row>
        <row r="407">
          <cell r="N407" t="str">
            <v>004507, Ciudad Kennedy Sur</v>
          </cell>
        </row>
        <row r="408">
          <cell r="N408" t="str">
            <v>004508, Ciudad Kennedy Occidental</v>
          </cell>
        </row>
        <row r="409">
          <cell r="N409" t="str">
            <v>004509, Ciudad Kennedy</v>
          </cell>
        </row>
        <row r="410">
          <cell r="N410" t="str">
            <v>004510, Ciudad Kennedy Oriental</v>
          </cell>
        </row>
        <row r="411">
          <cell r="N411" t="str">
            <v>004511, Ciudad Kennedy Central</v>
          </cell>
        </row>
        <row r="412">
          <cell r="N412" t="str">
            <v>004512, Timiza</v>
          </cell>
        </row>
        <row r="413">
          <cell r="N413" t="str">
            <v>004513, San Diego Bosa</v>
          </cell>
        </row>
        <row r="414">
          <cell r="N414" t="str">
            <v>004514, Ciudad Kennedy Norte</v>
          </cell>
        </row>
        <row r="415">
          <cell r="N415" t="str">
            <v>004515, Tundama</v>
          </cell>
        </row>
        <row r="416">
          <cell r="N416" t="str">
            <v>004516, Boita</v>
          </cell>
        </row>
        <row r="417">
          <cell r="N417" t="str">
            <v>004517, Jacqueline</v>
          </cell>
        </row>
        <row r="418">
          <cell r="N418" t="str">
            <v>004518, Timiza A</v>
          </cell>
        </row>
        <row r="419">
          <cell r="N419" t="str">
            <v>004519, Escocia</v>
          </cell>
        </row>
        <row r="420">
          <cell r="N420" t="str">
            <v>004520, La Paz Bosa</v>
          </cell>
        </row>
        <row r="421">
          <cell r="N421" t="str">
            <v>004521, La Estacion Bosa</v>
          </cell>
        </row>
        <row r="422">
          <cell r="N422" t="str">
            <v>004522, Bosa</v>
          </cell>
        </row>
        <row r="423">
          <cell r="N423" t="str">
            <v>004523, Jimenez de Quesada</v>
          </cell>
        </row>
        <row r="424">
          <cell r="N424" t="str">
            <v>004524, San Pablo Bosa</v>
          </cell>
        </row>
        <row r="425">
          <cell r="N425" t="str">
            <v>004525, Pastrana</v>
          </cell>
        </row>
        <row r="426">
          <cell r="N426" t="str">
            <v>004526, Bosa Nova</v>
          </cell>
        </row>
        <row r="427">
          <cell r="N427" t="str">
            <v>004527, Nueva Granada Bosa</v>
          </cell>
        </row>
        <row r="428">
          <cell r="N428" t="str">
            <v>004528, Paso Ancho</v>
          </cell>
        </row>
        <row r="429">
          <cell r="N429" t="str">
            <v>004529, Cementerio Jardínes Apogeo</v>
          </cell>
        </row>
        <row r="430">
          <cell r="N430" t="str">
            <v>004530, Timiza B</v>
          </cell>
        </row>
        <row r="431">
          <cell r="N431" t="str">
            <v>004531, Mandalay</v>
          </cell>
        </row>
        <row r="432">
          <cell r="N432" t="str">
            <v>004532, La Cecilia</v>
          </cell>
        </row>
        <row r="433">
          <cell r="N433" t="str">
            <v>004533, El Retazo</v>
          </cell>
        </row>
        <row r="434">
          <cell r="N434" t="str">
            <v>004534, Roma</v>
          </cell>
        </row>
        <row r="435">
          <cell r="N435" t="str">
            <v>004535, Class</v>
          </cell>
        </row>
        <row r="436">
          <cell r="N436" t="str">
            <v>004536, El Rubi</v>
          </cell>
        </row>
        <row r="437">
          <cell r="N437" t="str">
            <v>004537, Casablanca</v>
          </cell>
        </row>
        <row r="438">
          <cell r="N438" t="str">
            <v>004538, Olarte</v>
          </cell>
        </row>
        <row r="439">
          <cell r="N439" t="str">
            <v>004539, Gran Colombiano</v>
          </cell>
        </row>
        <row r="440">
          <cell r="N440" t="str">
            <v>004540, Catalina II</v>
          </cell>
        </row>
        <row r="441">
          <cell r="N441" t="str">
            <v>004541, El Paraíso Bosa</v>
          </cell>
        </row>
        <row r="442">
          <cell r="N442" t="str">
            <v>004542, Alqueria La Fragua Norte</v>
          </cell>
        </row>
        <row r="443">
          <cell r="N443" t="str">
            <v>004543, Alqueria La Fragua</v>
          </cell>
        </row>
        <row r="444">
          <cell r="N444" t="str">
            <v>004544, Las Delicias</v>
          </cell>
        </row>
        <row r="445">
          <cell r="N445" t="str">
            <v>004545, Catalina</v>
          </cell>
        </row>
        <row r="446">
          <cell r="N446" t="str">
            <v>004546, Villa del Rio</v>
          </cell>
        </row>
        <row r="447">
          <cell r="N447" t="str">
            <v>004547, Corabastos</v>
          </cell>
        </row>
        <row r="448">
          <cell r="N448" t="str">
            <v>004548, Techo</v>
          </cell>
        </row>
        <row r="449">
          <cell r="N449" t="str">
            <v>004549, Nueva York</v>
          </cell>
        </row>
        <row r="450">
          <cell r="N450" t="str">
            <v>004550, Jose Maria Carbonel</v>
          </cell>
        </row>
        <row r="451">
          <cell r="N451" t="str">
            <v>004551, Hipotecho Sur</v>
          </cell>
        </row>
        <row r="452">
          <cell r="N452" t="str">
            <v>004552, Gualoche</v>
          </cell>
        </row>
        <row r="453">
          <cell r="N453" t="str">
            <v>004553, AndaLucía II</v>
          </cell>
        </row>
        <row r="454">
          <cell r="N454" t="str">
            <v>004554, Patio Bonito</v>
          </cell>
        </row>
        <row r="455">
          <cell r="N455" t="str">
            <v>004555, Patio Bonito II</v>
          </cell>
        </row>
        <row r="456">
          <cell r="N456" t="str">
            <v>004556, Gran Britalia I</v>
          </cell>
        </row>
        <row r="457">
          <cell r="N457" t="str">
            <v>004557, Gran Britalia</v>
          </cell>
        </row>
        <row r="458">
          <cell r="N458" t="str">
            <v>004558, Campo Hermoso</v>
          </cell>
        </row>
        <row r="459">
          <cell r="N459" t="str">
            <v>004559, El Carmelo</v>
          </cell>
        </row>
        <row r="460">
          <cell r="N460" t="str">
            <v>004560, Saucedal</v>
          </cell>
        </row>
        <row r="461">
          <cell r="N461" t="str">
            <v>004561, El Jardín</v>
          </cell>
        </row>
        <row r="462">
          <cell r="N462" t="str">
            <v>004562, Llano Grande</v>
          </cell>
        </row>
        <row r="463">
          <cell r="N463" t="str">
            <v>004563, Guadalupe</v>
          </cell>
        </row>
        <row r="464">
          <cell r="N464" t="str">
            <v>004564, Tairona</v>
          </cell>
        </row>
        <row r="465">
          <cell r="N465" t="str">
            <v>004565, Tocarema</v>
          </cell>
        </row>
        <row r="466">
          <cell r="N466" t="str">
            <v>004566, Patio Bonito III</v>
          </cell>
        </row>
        <row r="467">
          <cell r="N467" t="str">
            <v>004567, Villas del Progreso</v>
          </cell>
        </row>
        <row r="468">
          <cell r="N468" t="str">
            <v>004568, Jorge Uribe Botero</v>
          </cell>
        </row>
        <row r="469">
          <cell r="N469" t="str">
            <v>004569, Jose Antonio Galan</v>
          </cell>
        </row>
        <row r="470">
          <cell r="N470" t="str">
            <v>004570, Antonia Santos</v>
          </cell>
        </row>
        <row r="471">
          <cell r="N471" t="str">
            <v>004572, Corredor Ferreo del Sur</v>
          </cell>
        </row>
        <row r="472">
          <cell r="N472" t="str">
            <v>004573, Ciudadela El Recreo</v>
          </cell>
        </row>
        <row r="473">
          <cell r="N473" t="str">
            <v>004574, Charles de Gaulle</v>
          </cell>
        </row>
        <row r="474">
          <cell r="N474" t="str">
            <v>004575, Los Laureles</v>
          </cell>
        </row>
        <row r="475">
          <cell r="N475" t="str">
            <v>004576, Casa Blanca Sur</v>
          </cell>
        </row>
        <row r="476">
          <cell r="N476" t="str">
            <v>004577, San Bernardino XXII Urbano</v>
          </cell>
        </row>
        <row r="477">
          <cell r="N477" t="str">
            <v>004578, Villa Nelly III Sector</v>
          </cell>
        </row>
        <row r="478">
          <cell r="N478" t="str">
            <v>004579, Escocia</v>
          </cell>
        </row>
        <row r="479">
          <cell r="N479" t="str">
            <v>004580, Bosa Nova El Porvenir</v>
          </cell>
        </row>
        <row r="480">
          <cell r="N480" t="str">
            <v>004581, Timiza C</v>
          </cell>
        </row>
        <row r="481">
          <cell r="N481" t="str">
            <v>004582, Renania Urapanes</v>
          </cell>
        </row>
        <row r="482">
          <cell r="N482" t="str">
            <v>004583, Argelia II</v>
          </cell>
        </row>
        <row r="483">
          <cell r="N483" t="str">
            <v>004584, Santa Catalina</v>
          </cell>
        </row>
        <row r="484">
          <cell r="N484" t="str">
            <v>004586, Jimenez de Quesada II Sector</v>
          </cell>
        </row>
        <row r="485">
          <cell r="N485" t="str">
            <v>004587, Los Sauces</v>
          </cell>
        </row>
        <row r="486">
          <cell r="N486" t="str">
            <v>004588, El Danubio Azul</v>
          </cell>
        </row>
        <row r="487">
          <cell r="N487" t="str">
            <v>004589, San Pedro</v>
          </cell>
        </row>
        <row r="488">
          <cell r="N488" t="str">
            <v>004590, San Bernardino XXV Urbano</v>
          </cell>
        </row>
        <row r="489">
          <cell r="N489" t="str">
            <v>004591, El Portal del Brasil</v>
          </cell>
        </row>
        <row r="490">
          <cell r="N490" t="str">
            <v>004592, San Martín</v>
          </cell>
        </row>
        <row r="491">
          <cell r="N491" t="str">
            <v>004593, La Libertad</v>
          </cell>
        </row>
        <row r="492">
          <cell r="N492" t="str">
            <v>004594, San Antonio</v>
          </cell>
        </row>
        <row r="493">
          <cell r="N493" t="str">
            <v>004595, Chicó Sur</v>
          </cell>
        </row>
        <row r="494">
          <cell r="N494" t="str">
            <v>004596, Alqueria La Fragua II</v>
          </cell>
        </row>
        <row r="495">
          <cell r="N495" t="str">
            <v>004597, San Bernardino I</v>
          </cell>
        </row>
        <row r="496">
          <cell r="N496" t="str">
            <v>004598, Villa Anny I</v>
          </cell>
        </row>
        <row r="497">
          <cell r="N497" t="str">
            <v>004599, Villa Anny II</v>
          </cell>
        </row>
        <row r="498">
          <cell r="N498" t="str">
            <v>004601, Calandaima</v>
          </cell>
        </row>
        <row r="499">
          <cell r="N499" t="str">
            <v>004602, Remanso Urbano</v>
          </cell>
        </row>
        <row r="500">
          <cell r="N500" t="str">
            <v>004603, El Paraíso</v>
          </cell>
        </row>
        <row r="501">
          <cell r="N501" t="str">
            <v>004604, Brasilia</v>
          </cell>
        </row>
        <row r="502">
          <cell r="N502" t="str">
            <v>004605, Chicala</v>
          </cell>
        </row>
        <row r="503">
          <cell r="N503" t="str">
            <v>004607, Ciudad de Cali</v>
          </cell>
        </row>
        <row r="504">
          <cell r="N504" t="str">
            <v>004609, Los Almendros</v>
          </cell>
        </row>
        <row r="505">
          <cell r="N505" t="str">
            <v>004611, El Jazmin</v>
          </cell>
        </row>
        <row r="506">
          <cell r="N506" t="str">
            <v>004612, Dindalito</v>
          </cell>
        </row>
        <row r="507">
          <cell r="N507" t="str">
            <v>004613, Provivienda Occidental</v>
          </cell>
        </row>
        <row r="508">
          <cell r="N508" t="str">
            <v>004614, Dindalito</v>
          </cell>
        </row>
        <row r="509">
          <cell r="N509" t="str">
            <v>004615, Osorio XII</v>
          </cell>
        </row>
        <row r="510">
          <cell r="N510" t="str">
            <v>004616, Osorio X Urbano</v>
          </cell>
        </row>
        <row r="511">
          <cell r="N511" t="str">
            <v>004617, Tintalito</v>
          </cell>
        </row>
        <row r="512">
          <cell r="N512" t="str">
            <v>004618, Dintalito</v>
          </cell>
        </row>
        <row r="513">
          <cell r="N513" t="str">
            <v>004619, Chucua de La Vaca III</v>
          </cell>
        </row>
        <row r="514">
          <cell r="N514" t="str">
            <v>004620, Chucua de La Vaca II</v>
          </cell>
        </row>
        <row r="515">
          <cell r="N515" t="str">
            <v>004621, Chucua de La Vaca I</v>
          </cell>
        </row>
        <row r="516">
          <cell r="N516" t="str">
            <v>004622, Brasil</v>
          </cell>
        </row>
        <row r="517">
          <cell r="N517" t="str">
            <v>004623, San Bernardino Potreritos</v>
          </cell>
        </row>
        <row r="518">
          <cell r="N518" t="str">
            <v>004624, La Vega San Bernardino</v>
          </cell>
        </row>
        <row r="519">
          <cell r="N519" t="str">
            <v>004625, El Remanso I</v>
          </cell>
        </row>
        <row r="520">
          <cell r="N520" t="str">
            <v>004626, Las Acacias</v>
          </cell>
        </row>
        <row r="521">
          <cell r="N521" t="str">
            <v>004627, Galan</v>
          </cell>
        </row>
        <row r="522">
          <cell r="N522" t="str">
            <v>004628, Betania</v>
          </cell>
        </row>
        <row r="523">
          <cell r="N523" t="str">
            <v>004630, Parcela El Porvenir</v>
          </cell>
        </row>
        <row r="524">
          <cell r="N524" t="str">
            <v>004631, El Corzo</v>
          </cell>
        </row>
        <row r="525">
          <cell r="N525" t="str">
            <v>004632, La Cabana</v>
          </cell>
        </row>
        <row r="526">
          <cell r="N526" t="str">
            <v>004633, Santa Fe Bosa</v>
          </cell>
        </row>
        <row r="527">
          <cell r="N527" t="str">
            <v>004634, Cañaveralejo</v>
          </cell>
        </row>
        <row r="528">
          <cell r="N528" t="str">
            <v>004635, San Bernardino II</v>
          </cell>
        </row>
        <row r="529">
          <cell r="N529" t="str">
            <v>004637, Las Margaritas</v>
          </cell>
        </row>
        <row r="530">
          <cell r="N530" t="str">
            <v>004638, Ciudadela El Recreo II</v>
          </cell>
        </row>
        <row r="531">
          <cell r="N531" t="str">
            <v>004641, La Independencia</v>
          </cell>
        </row>
        <row r="532">
          <cell r="N532" t="str">
            <v>004642, Islandia</v>
          </cell>
        </row>
        <row r="533">
          <cell r="N533" t="str">
            <v>004643, El Corzo I</v>
          </cell>
        </row>
        <row r="534">
          <cell r="N534" t="str">
            <v>005101, Jose Joaquin Vargas</v>
          </cell>
        </row>
        <row r="535">
          <cell r="N535" t="str">
            <v>005102, Popular Modelo</v>
          </cell>
        </row>
        <row r="536">
          <cell r="N536" t="str">
            <v>005103, San Miguel</v>
          </cell>
        </row>
        <row r="537">
          <cell r="N537" t="str">
            <v>005104, El Rosario</v>
          </cell>
        </row>
        <row r="538">
          <cell r="N538" t="str">
            <v>005105, Campin Occidental</v>
          </cell>
        </row>
        <row r="539">
          <cell r="N539" t="str">
            <v>005106, Nicolas de Federman</v>
          </cell>
        </row>
        <row r="540">
          <cell r="N540" t="str">
            <v>005107, Acevedo Tejada</v>
          </cell>
        </row>
        <row r="541">
          <cell r="N541" t="str">
            <v>005108, Ciudad Universitaria</v>
          </cell>
        </row>
        <row r="542">
          <cell r="N542" t="str">
            <v>005109, Centro Administrativo Occ.</v>
          </cell>
        </row>
        <row r="543">
          <cell r="N543" t="str">
            <v>005110, El Salitre</v>
          </cell>
        </row>
        <row r="544">
          <cell r="N544" t="str">
            <v>005111, La Esmeralda</v>
          </cell>
        </row>
        <row r="545">
          <cell r="N545" t="str">
            <v>005112, Parque Distrital Salitre</v>
          </cell>
        </row>
        <row r="546">
          <cell r="N546" t="str">
            <v>005113, Paulo VI</v>
          </cell>
        </row>
        <row r="547">
          <cell r="N547" t="str">
            <v>005114, Campo Eucaristico</v>
          </cell>
        </row>
        <row r="548">
          <cell r="N548" t="str">
            <v>005115, Parque Popular Salitre</v>
          </cell>
        </row>
        <row r="549">
          <cell r="N549" t="str">
            <v>005116, Pablo VI Norte</v>
          </cell>
        </row>
        <row r="550">
          <cell r="N550" t="str">
            <v>005117, Rafael Nunez</v>
          </cell>
        </row>
        <row r="551">
          <cell r="N551" t="str">
            <v>005201, Jorge Eliécer Gaitán</v>
          </cell>
        </row>
        <row r="552">
          <cell r="N552" t="str">
            <v>005202, Doce de Octubre</v>
          </cell>
        </row>
        <row r="553">
          <cell r="N553" t="str">
            <v>005203, San Fernando</v>
          </cell>
        </row>
        <row r="554">
          <cell r="N554" t="str">
            <v>005204, San Fernando Occidental</v>
          </cell>
        </row>
        <row r="555">
          <cell r="N555" t="str">
            <v>005205, Simon Bolívar</v>
          </cell>
        </row>
        <row r="556">
          <cell r="N556" t="str">
            <v>005206, La Libertad</v>
          </cell>
        </row>
        <row r="557">
          <cell r="N557" t="str">
            <v>005207, Metropolis</v>
          </cell>
        </row>
        <row r="558">
          <cell r="N558" t="str">
            <v>005304, La Castellana</v>
          </cell>
        </row>
        <row r="559">
          <cell r="N559" t="str">
            <v>005305, La Patria</v>
          </cell>
        </row>
        <row r="560">
          <cell r="N560" t="str">
            <v>005306, Entrerios</v>
          </cell>
        </row>
        <row r="561">
          <cell r="N561" t="str">
            <v>005307, Los Andes</v>
          </cell>
        </row>
        <row r="562">
          <cell r="N562" t="str">
            <v>005308, Rionegro</v>
          </cell>
        </row>
        <row r="563">
          <cell r="N563" t="str">
            <v>005310, Escuela Militar</v>
          </cell>
        </row>
        <row r="564">
          <cell r="N564" t="str">
            <v>005401, Potosi</v>
          </cell>
        </row>
        <row r="565">
          <cell r="N565" t="str">
            <v>005402, Santa Rosa</v>
          </cell>
        </row>
        <row r="566">
          <cell r="N566" t="str">
            <v>005403, Julio Florez</v>
          </cell>
        </row>
        <row r="567">
          <cell r="N567" t="str">
            <v>005404, Las Ferias</v>
          </cell>
        </row>
        <row r="568">
          <cell r="N568" t="str">
            <v>005405, Las Ferias Occidental</v>
          </cell>
        </row>
        <row r="569">
          <cell r="N569" t="str">
            <v>005406, Bonanza</v>
          </cell>
        </row>
        <row r="570">
          <cell r="N570" t="str">
            <v>005501, Palo Blanco</v>
          </cell>
        </row>
        <row r="571">
          <cell r="N571" t="str">
            <v>005502, La Estrada</v>
          </cell>
        </row>
        <row r="572">
          <cell r="N572" t="str">
            <v>005503, Bellavista Occidental</v>
          </cell>
        </row>
        <row r="573">
          <cell r="N573" t="str">
            <v>005504, La Estradita</v>
          </cell>
        </row>
        <row r="574">
          <cell r="N574" t="str">
            <v>005505, Bosque Popular</v>
          </cell>
        </row>
        <row r="575">
          <cell r="N575" t="str">
            <v>005506, Jardín Botanico</v>
          </cell>
        </row>
        <row r="576">
          <cell r="N576" t="str">
            <v>005507, Normandía</v>
          </cell>
        </row>
        <row r="577">
          <cell r="N577" t="str">
            <v>005508, La Cabaña</v>
          </cell>
        </row>
        <row r="578">
          <cell r="N578" t="str">
            <v>005509, San Joaquin</v>
          </cell>
        </row>
        <row r="579">
          <cell r="N579" t="str">
            <v>005510, El Laurel</v>
          </cell>
        </row>
        <row r="580">
          <cell r="N580" t="str">
            <v>005601, El Minuto de Dios</v>
          </cell>
        </row>
        <row r="581">
          <cell r="N581" t="str">
            <v>005602, Santa Maria</v>
          </cell>
        </row>
        <row r="582">
          <cell r="N582" t="str">
            <v>005603, Boyacá</v>
          </cell>
        </row>
        <row r="583">
          <cell r="N583" t="str">
            <v>005604, El Real</v>
          </cell>
        </row>
        <row r="584">
          <cell r="N584" t="str">
            <v>005605, El Encanto</v>
          </cell>
        </row>
        <row r="585">
          <cell r="N585" t="str">
            <v>005606, Normandía Occidental</v>
          </cell>
        </row>
        <row r="586">
          <cell r="N586" t="str">
            <v>005607, San Ignacio</v>
          </cell>
        </row>
        <row r="587">
          <cell r="N587" t="str">
            <v>005608, Santa Helenita</v>
          </cell>
        </row>
        <row r="588">
          <cell r="N588" t="str">
            <v>005609, Tabora</v>
          </cell>
        </row>
        <row r="589">
          <cell r="N589" t="str">
            <v>005610, La Granja</v>
          </cell>
        </row>
        <row r="590">
          <cell r="N590" t="str">
            <v>005611, Autopista Medellin</v>
          </cell>
        </row>
        <row r="591">
          <cell r="N591" t="str">
            <v>005612, Paris Gaitan</v>
          </cell>
        </row>
        <row r="592">
          <cell r="N592" t="str">
            <v>005613, La Serena</v>
          </cell>
        </row>
        <row r="593">
          <cell r="N593" t="str">
            <v>005614, Villa Luz</v>
          </cell>
        </row>
        <row r="594">
          <cell r="N594" t="str">
            <v>005615, La Soledad Norte</v>
          </cell>
        </row>
        <row r="595">
          <cell r="N595" t="str">
            <v>005616, Los Cerezos</v>
          </cell>
        </row>
        <row r="596">
          <cell r="N596" t="str">
            <v>005617, Primavera</v>
          </cell>
        </row>
        <row r="597">
          <cell r="N597" t="str">
            <v>005619, Paris</v>
          </cell>
        </row>
        <row r="598">
          <cell r="N598" t="str">
            <v>005620, Florencia</v>
          </cell>
        </row>
        <row r="599">
          <cell r="N599" t="str">
            <v>005621, Florida Blanca</v>
          </cell>
        </row>
        <row r="600">
          <cell r="N600" t="str">
            <v>005622, Bolivia</v>
          </cell>
        </row>
        <row r="601">
          <cell r="N601" t="str">
            <v>005623, Los Angeles</v>
          </cell>
        </row>
        <row r="602">
          <cell r="N602" t="str">
            <v>005624, Aeropuerto El Dorado</v>
          </cell>
        </row>
        <row r="603">
          <cell r="N603" t="str">
            <v>005625, Los Alamos</v>
          </cell>
        </row>
        <row r="604">
          <cell r="N604" t="str">
            <v>005626, Los Alamos</v>
          </cell>
        </row>
        <row r="605">
          <cell r="N605" t="str">
            <v>005627, Garces Navas</v>
          </cell>
        </row>
        <row r="606">
          <cell r="N606" t="str">
            <v>005628, Garces Navas Oriental</v>
          </cell>
        </row>
        <row r="607">
          <cell r="N607" t="str">
            <v>005629, El Cedro</v>
          </cell>
        </row>
        <row r="608">
          <cell r="N608" t="str">
            <v>005630, Ciudad Bachué</v>
          </cell>
        </row>
        <row r="609">
          <cell r="N609" t="str">
            <v>005631, Ciudad Bachué I Etapa</v>
          </cell>
        </row>
        <row r="610">
          <cell r="N610" t="str">
            <v>005632, Bochica</v>
          </cell>
        </row>
        <row r="611">
          <cell r="N611" t="str">
            <v>005634, El Cortijo</v>
          </cell>
        </row>
        <row r="612">
          <cell r="N612" t="str">
            <v>005635, El Madrigal</v>
          </cell>
        </row>
        <row r="613">
          <cell r="N613" t="str">
            <v>005636, Engativá Zona Urbana</v>
          </cell>
        </row>
        <row r="614">
          <cell r="N614" t="str">
            <v>005637, Villa Gladys</v>
          </cell>
        </row>
        <row r="615">
          <cell r="N615" t="str">
            <v>005638, Santa Cecilia</v>
          </cell>
        </row>
        <row r="616">
          <cell r="N616" t="str">
            <v>005639, Quirigua Oriental</v>
          </cell>
        </row>
        <row r="617">
          <cell r="N617" t="str">
            <v>005640, Bolivia Oriental</v>
          </cell>
        </row>
        <row r="618">
          <cell r="N618" t="str">
            <v>005641, Santa Monica</v>
          </cell>
        </row>
        <row r="619">
          <cell r="N619" t="str">
            <v>005643, Alamos</v>
          </cell>
        </row>
        <row r="620">
          <cell r="N620" t="str">
            <v>005644, Bochica II</v>
          </cell>
        </row>
        <row r="621">
          <cell r="N621" t="str">
            <v>005647, Villas de Granada</v>
          </cell>
        </row>
        <row r="622">
          <cell r="N622" t="str">
            <v>005648, Villa Amalia</v>
          </cell>
        </row>
        <row r="623">
          <cell r="N623" t="str">
            <v>005649, Villas de Granada I</v>
          </cell>
        </row>
        <row r="624">
          <cell r="N624" t="str">
            <v>005650, Ciudadela Colsubsidio</v>
          </cell>
        </row>
        <row r="625">
          <cell r="N625" t="str">
            <v>005652, El Muelle</v>
          </cell>
        </row>
        <row r="626">
          <cell r="N626" t="str">
            <v>005654, Gran Granada</v>
          </cell>
        </row>
        <row r="627">
          <cell r="N627" t="str">
            <v>005655, Garces Navas Sur</v>
          </cell>
        </row>
        <row r="628">
          <cell r="N628" t="str">
            <v>005657, Sabana del Dorado</v>
          </cell>
        </row>
        <row r="629">
          <cell r="N629" t="str">
            <v>005658, Villa Sagrario</v>
          </cell>
        </row>
        <row r="630">
          <cell r="N630" t="str">
            <v>005660, San Antonio Urbano</v>
          </cell>
        </row>
        <row r="631">
          <cell r="N631" t="str">
            <v>005661, Luis Carlos Galan</v>
          </cell>
        </row>
        <row r="632">
          <cell r="N632" t="str">
            <v>005662, El Cedro</v>
          </cell>
        </row>
        <row r="633">
          <cell r="N633" t="str">
            <v>005663, El Dorado Industrial</v>
          </cell>
        </row>
        <row r="634">
          <cell r="N634" t="str">
            <v>005664, El Dorado</v>
          </cell>
        </row>
        <row r="635">
          <cell r="N635" t="str">
            <v>005665, Marandu</v>
          </cell>
        </row>
        <row r="636">
          <cell r="N636" t="str">
            <v>005666, La Faena</v>
          </cell>
        </row>
        <row r="637">
          <cell r="N637" t="str">
            <v>005667, Centro Engativá II</v>
          </cell>
        </row>
        <row r="638">
          <cell r="N638" t="str">
            <v>005668, Villas de Alcala</v>
          </cell>
        </row>
        <row r="639">
          <cell r="N639" t="str">
            <v>005669, El Gaco</v>
          </cell>
        </row>
        <row r="640">
          <cell r="N640" t="str">
            <v>005670, La RIViera</v>
          </cell>
        </row>
        <row r="641">
          <cell r="N641" t="str">
            <v>005672, Las Navetas</v>
          </cell>
        </row>
        <row r="642">
          <cell r="N642" t="str">
            <v>005673, Pueblo Viejo</v>
          </cell>
        </row>
        <row r="643">
          <cell r="N643" t="str">
            <v>005675, Bolivia</v>
          </cell>
        </row>
        <row r="644">
          <cell r="N644" t="str">
            <v>005679, San Antonio Engativá</v>
          </cell>
        </row>
        <row r="645">
          <cell r="N645" t="str">
            <v>005680, Villa del Mar</v>
          </cell>
        </row>
        <row r="646">
          <cell r="N646" t="str">
            <v>005682, Ciudad Bachué II</v>
          </cell>
        </row>
        <row r="647">
          <cell r="N647" t="str">
            <v>005683, Quirigua I</v>
          </cell>
        </row>
        <row r="648">
          <cell r="N648" t="str">
            <v>005684, Quirigua II</v>
          </cell>
        </row>
        <row r="649">
          <cell r="N649" t="str">
            <v>006101, Florida</v>
          </cell>
        </row>
        <row r="650">
          <cell r="N650" t="str">
            <v>006103, Santa Fe</v>
          </cell>
        </row>
        <row r="651">
          <cell r="N651" t="str">
            <v>006104, La Favorita</v>
          </cell>
        </row>
        <row r="652">
          <cell r="N652" t="str">
            <v>006105, San Victorino</v>
          </cell>
        </row>
        <row r="653">
          <cell r="N653" t="str">
            <v>006106, El Liston</v>
          </cell>
        </row>
        <row r="654">
          <cell r="N654" t="str">
            <v>006107, Paloquemao</v>
          </cell>
        </row>
        <row r="655">
          <cell r="N655" t="str">
            <v>006108, Samper Mendoza</v>
          </cell>
        </row>
        <row r="656">
          <cell r="N656" t="str">
            <v>006109, Colseguros</v>
          </cell>
        </row>
        <row r="657">
          <cell r="N657" t="str">
            <v>006110, Usatama</v>
          </cell>
        </row>
        <row r="658">
          <cell r="N658" t="str">
            <v>006201, El Recuerdo</v>
          </cell>
        </row>
        <row r="659">
          <cell r="N659" t="str">
            <v>006202, Gran America</v>
          </cell>
        </row>
        <row r="660">
          <cell r="N660" t="str">
            <v>006203, La Florida Occidental</v>
          </cell>
        </row>
        <row r="661">
          <cell r="N661" t="str">
            <v>006204, Estacion Central</v>
          </cell>
        </row>
        <row r="662">
          <cell r="N662" t="str">
            <v>006205, Industrial Centenario</v>
          </cell>
        </row>
        <row r="663">
          <cell r="N663" t="str">
            <v>006206, El Ejido</v>
          </cell>
        </row>
        <row r="664">
          <cell r="N664" t="str">
            <v>006207, Batallon Caldas</v>
          </cell>
        </row>
        <row r="665">
          <cell r="N665" t="str">
            <v>006208, Ortezal</v>
          </cell>
        </row>
        <row r="666">
          <cell r="N666" t="str">
            <v>006209, Quinta Paredes</v>
          </cell>
        </row>
        <row r="667">
          <cell r="N667" t="str">
            <v>006210, Centro Narino</v>
          </cell>
        </row>
        <row r="668">
          <cell r="N668" t="str">
            <v>006211, Cundinamarca</v>
          </cell>
        </row>
        <row r="669">
          <cell r="N669" t="str">
            <v>006212, Salazar Gómez</v>
          </cell>
        </row>
        <row r="670">
          <cell r="N670" t="str">
            <v>006215, Puente Aranda</v>
          </cell>
        </row>
        <row r="671">
          <cell r="N671" t="str">
            <v>006216, Ciudad Salitre Nor-Oriental</v>
          </cell>
        </row>
        <row r="672">
          <cell r="N672" t="str">
            <v>006217, Ciudad Salitre Sur-Oriental</v>
          </cell>
        </row>
        <row r="673">
          <cell r="N673" t="str">
            <v>006218, Centro Industrial</v>
          </cell>
        </row>
        <row r="674">
          <cell r="N674" t="str">
            <v>006301, Santa Cecilia</v>
          </cell>
        </row>
        <row r="675">
          <cell r="N675" t="str">
            <v>006302, Capellania</v>
          </cell>
        </row>
        <row r="676">
          <cell r="N676" t="str">
            <v>006303, La Esperanza Norte</v>
          </cell>
        </row>
        <row r="677">
          <cell r="N677" t="str">
            <v>006306, Granjas de Techo</v>
          </cell>
        </row>
        <row r="678">
          <cell r="N678" t="str">
            <v>006307, Montevideo</v>
          </cell>
        </row>
        <row r="679">
          <cell r="N679" t="str">
            <v>006308, Franco</v>
          </cell>
        </row>
        <row r="680">
          <cell r="N680" t="str">
            <v>006311, Modelia</v>
          </cell>
        </row>
        <row r="681">
          <cell r="N681" t="str">
            <v>006312, Modelia Occidental</v>
          </cell>
        </row>
        <row r="682">
          <cell r="N682" t="str">
            <v>006313, Salitre Occidental</v>
          </cell>
        </row>
        <row r="683">
          <cell r="N683" t="str">
            <v>006315, La Esperanza Sur</v>
          </cell>
        </row>
        <row r="684">
          <cell r="N684" t="str">
            <v>006316, Bosque de Modelia</v>
          </cell>
        </row>
        <row r="685">
          <cell r="N685" t="str">
            <v>006319, Terminal de Transportes</v>
          </cell>
        </row>
        <row r="686">
          <cell r="N686" t="str">
            <v>006320, Ciudad Hayuelos</v>
          </cell>
        </row>
        <row r="687">
          <cell r="N687" t="str">
            <v>006401, Versalles Fontibón</v>
          </cell>
        </row>
        <row r="688">
          <cell r="N688" t="str">
            <v>006402, La Cabaña Fontibón</v>
          </cell>
        </row>
        <row r="689">
          <cell r="N689" t="str">
            <v>006403, San Jose de Fontibón</v>
          </cell>
        </row>
        <row r="690">
          <cell r="N690" t="str">
            <v>006404, Puerta de Teja</v>
          </cell>
        </row>
        <row r="691">
          <cell r="N691" t="str">
            <v>006405, Ferrocaja Fontibón</v>
          </cell>
        </row>
        <row r="692">
          <cell r="N692" t="str">
            <v>006406, Villemar</v>
          </cell>
        </row>
        <row r="693">
          <cell r="N693" t="str">
            <v>006407, Guadual Fontibón</v>
          </cell>
        </row>
        <row r="694">
          <cell r="N694" t="str">
            <v>006408, El Carmen Fontibón</v>
          </cell>
        </row>
        <row r="695">
          <cell r="N695" t="str">
            <v>006409, Belen Fontibón</v>
          </cell>
        </row>
        <row r="696">
          <cell r="N696" t="str">
            <v>006410, Centro Fontibón</v>
          </cell>
        </row>
        <row r="697">
          <cell r="N697" t="str">
            <v>006411, Charco Urbano</v>
          </cell>
        </row>
        <row r="698">
          <cell r="N698" t="str">
            <v>006413, San Pablo Jerico</v>
          </cell>
        </row>
        <row r="699">
          <cell r="N699" t="str">
            <v>006414, Brisas Aldea Fontibón</v>
          </cell>
        </row>
        <row r="700">
          <cell r="N700" t="str">
            <v>006415, La Laguna Fontibón</v>
          </cell>
        </row>
        <row r="701">
          <cell r="N701" t="str">
            <v>006416, Atahualpa</v>
          </cell>
        </row>
        <row r="702">
          <cell r="N702" t="str">
            <v>006417, Villa Carmenza</v>
          </cell>
        </row>
        <row r="703">
          <cell r="N703" t="str">
            <v>006418, Puente Grande</v>
          </cell>
        </row>
        <row r="704">
          <cell r="N704" t="str">
            <v>006419, El Refugio</v>
          </cell>
        </row>
        <row r="705">
          <cell r="N705" t="str">
            <v>006420, La Giralda</v>
          </cell>
        </row>
        <row r="706">
          <cell r="N706" t="str">
            <v>006423, El Tintal Central</v>
          </cell>
        </row>
        <row r="707">
          <cell r="N707" t="str">
            <v>006501, Cooperativa de Sub-Oficiales</v>
          </cell>
        </row>
        <row r="708">
          <cell r="N708" t="str">
            <v>006502, Marsella</v>
          </cell>
        </row>
        <row r="709">
          <cell r="N709" t="str">
            <v>006503, Vision de Oriente</v>
          </cell>
        </row>
        <row r="710">
          <cell r="N710" t="str">
            <v>006504, Bavaria</v>
          </cell>
        </row>
        <row r="711">
          <cell r="N711" t="str">
            <v>006505, Pio XII</v>
          </cell>
        </row>
        <row r="712">
          <cell r="N712" t="str">
            <v>006506, Castilla</v>
          </cell>
        </row>
        <row r="713">
          <cell r="N713" t="str">
            <v>006507, Nuevo Techo</v>
          </cell>
        </row>
        <row r="714">
          <cell r="N714" t="str">
            <v>006508, Las Dos Avenidas</v>
          </cell>
        </row>
        <row r="715">
          <cell r="N715" t="str">
            <v>006509, Lusitania</v>
          </cell>
        </row>
        <row r="716">
          <cell r="N716" t="str">
            <v>006510, Villa Alsacia II</v>
          </cell>
        </row>
        <row r="717">
          <cell r="N717" t="str">
            <v>006511, La Pampa</v>
          </cell>
        </row>
        <row r="718">
          <cell r="N718" t="str">
            <v>006512, Villa Alsacia</v>
          </cell>
        </row>
        <row r="719">
          <cell r="N719" t="str">
            <v>006514, Vergel Occidental</v>
          </cell>
        </row>
        <row r="720">
          <cell r="N720" t="str">
            <v>006515, Valladolid</v>
          </cell>
        </row>
        <row r="721">
          <cell r="N721" t="str">
            <v>006516, Tintala</v>
          </cell>
        </row>
        <row r="722">
          <cell r="N722" t="str">
            <v>006517, Maria Paz</v>
          </cell>
        </row>
        <row r="723">
          <cell r="N723" t="str">
            <v>006518, Osorio III</v>
          </cell>
        </row>
        <row r="724">
          <cell r="N724" t="str">
            <v>006519, Moravia</v>
          </cell>
        </row>
        <row r="725">
          <cell r="N725" t="str">
            <v>006520, Zona Franca</v>
          </cell>
        </row>
        <row r="726">
          <cell r="N726" t="str">
            <v>006521, Sabana Grande</v>
          </cell>
        </row>
        <row r="727">
          <cell r="N727" t="str">
            <v>006522, El Tintal II</v>
          </cell>
        </row>
        <row r="728">
          <cell r="N728" t="str">
            <v>006523, San Pedro de Los Robles</v>
          </cell>
        </row>
        <row r="729">
          <cell r="N729" t="str">
            <v>006524, La Magdalena</v>
          </cell>
        </row>
        <row r="730">
          <cell r="N730" t="str">
            <v>006525, El Chanco I</v>
          </cell>
        </row>
        <row r="731">
          <cell r="N731" t="str">
            <v>006527, Interindustrial</v>
          </cell>
        </row>
        <row r="732">
          <cell r="N732" t="str">
            <v>006528, El Vergel</v>
          </cell>
        </row>
        <row r="733">
          <cell r="N733" t="str">
            <v>006529, El Vergel Oriental</v>
          </cell>
        </row>
        <row r="734">
          <cell r="N734" t="str">
            <v>006531, Ciudad Techo II</v>
          </cell>
        </row>
        <row r="735">
          <cell r="N735" t="str">
            <v>006532, Kasandra</v>
          </cell>
        </row>
        <row r="736">
          <cell r="N736" t="str">
            <v>006533, El Tintal III</v>
          </cell>
        </row>
        <row r="737">
          <cell r="N737" t="str">
            <v>006534, El Tintal IV</v>
          </cell>
        </row>
        <row r="738">
          <cell r="N738" t="str">
            <v>007101, La Soledad</v>
          </cell>
        </row>
        <row r="739">
          <cell r="N739" t="str">
            <v>007102, Santa Teresita</v>
          </cell>
        </row>
        <row r="740">
          <cell r="N740" t="str">
            <v>007103, La Magdalena</v>
          </cell>
        </row>
        <row r="741">
          <cell r="N741" t="str">
            <v>007104, Teusaquillo</v>
          </cell>
        </row>
        <row r="742">
          <cell r="N742" t="str">
            <v>007105, Armenia</v>
          </cell>
        </row>
        <row r="743">
          <cell r="N743" t="str">
            <v>007106, Estrella</v>
          </cell>
        </row>
        <row r="744">
          <cell r="N744" t="str">
            <v>007107, Las Americas</v>
          </cell>
        </row>
        <row r="745">
          <cell r="N745" t="str">
            <v>007201, Campin</v>
          </cell>
        </row>
        <row r="746">
          <cell r="N746" t="str">
            <v>007202, San Luis</v>
          </cell>
        </row>
        <row r="747">
          <cell r="N747" t="str">
            <v>007203, Chapinero Occidental</v>
          </cell>
        </row>
        <row r="748">
          <cell r="N748" t="str">
            <v>007204, Quesada</v>
          </cell>
        </row>
        <row r="749">
          <cell r="N749" t="str">
            <v>007205, Palermo</v>
          </cell>
        </row>
        <row r="750">
          <cell r="N750" t="str">
            <v>007206, Belalcazar</v>
          </cell>
        </row>
        <row r="751">
          <cell r="N751" t="str">
            <v>007207, Galerías</v>
          </cell>
        </row>
        <row r="752">
          <cell r="N752" t="str">
            <v>007208, Banco Central</v>
          </cell>
        </row>
        <row r="753">
          <cell r="N753" t="str">
            <v>007209, Alfonso Lopez</v>
          </cell>
        </row>
        <row r="754">
          <cell r="N754" t="str">
            <v>007301, La Merced Norte</v>
          </cell>
        </row>
        <row r="755">
          <cell r="N755" t="str">
            <v>007302, Alcázares</v>
          </cell>
        </row>
        <row r="756">
          <cell r="N756" t="str">
            <v>007303, Colombia</v>
          </cell>
        </row>
        <row r="757">
          <cell r="N757" t="str">
            <v>007304, Concepcion Norte</v>
          </cell>
        </row>
        <row r="758">
          <cell r="N758" t="str">
            <v>007305, La Esperanza</v>
          </cell>
        </row>
        <row r="759">
          <cell r="N759" t="str">
            <v>007306, Baquero</v>
          </cell>
        </row>
        <row r="760">
          <cell r="N760" t="str">
            <v>007307, Muequeta</v>
          </cell>
        </row>
        <row r="761">
          <cell r="N761" t="str">
            <v>007308, Quinta Mutis</v>
          </cell>
        </row>
        <row r="762">
          <cell r="N762" t="str">
            <v>007309, Benjamin Herrera</v>
          </cell>
        </row>
        <row r="763">
          <cell r="N763" t="str">
            <v>007310, La Paz</v>
          </cell>
        </row>
        <row r="764">
          <cell r="N764" t="str">
            <v>007311, Siete de Agosto</v>
          </cell>
        </row>
        <row r="765">
          <cell r="N765" t="str">
            <v>007312, Rafael Uribe</v>
          </cell>
        </row>
        <row r="766">
          <cell r="N766" t="str">
            <v>007401, Polo Club</v>
          </cell>
        </row>
        <row r="767">
          <cell r="N767" t="str">
            <v>007402, Juan XXIII</v>
          </cell>
        </row>
        <row r="768">
          <cell r="N768" t="str">
            <v>007403, San Felipe</v>
          </cell>
        </row>
        <row r="769">
          <cell r="N769" t="str">
            <v>007404, Alcázares Norte</v>
          </cell>
        </row>
        <row r="770">
          <cell r="N770" t="str">
            <v>007405, Once de Noviembre</v>
          </cell>
        </row>
        <row r="771">
          <cell r="N771" t="str">
            <v>007406, Santa Sofia</v>
          </cell>
        </row>
        <row r="772">
          <cell r="N772" t="str">
            <v>007407, La Aurora</v>
          </cell>
        </row>
        <row r="773">
          <cell r="N773" t="str">
            <v>008101, Sagrado Corazon</v>
          </cell>
        </row>
        <row r="774">
          <cell r="N774" t="str">
            <v>008102, Parque Nacional</v>
          </cell>
        </row>
        <row r="775">
          <cell r="N775" t="str">
            <v>008103, La Merced</v>
          </cell>
        </row>
        <row r="776">
          <cell r="N776" t="str">
            <v>008104, La Perseverancia</v>
          </cell>
        </row>
        <row r="777">
          <cell r="N777" t="str">
            <v>008105, La Macarena</v>
          </cell>
        </row>
        <row r="778">
          <cell r="N778" t="str">
            <v>008106, Bosque Izquierdo</v>
          </cell>
        </row>
        <row r="779">
          <cell r="N779" t="str">
            <v>008107, San Diego</v>
          </cell>
        </row>
        <row r="780">
          <cell r="N780" t="str">
            <v>008108, Samper</v>
          </cell>
        </row>
        <row r="781">
          <cell r="N781" t="str">
            <v>008109, San Martín</v>
          </cell>
        </row>
        <row r="782">
          <cell r="N782" t="str">
            <v>008110, El Paraíso</v>
          </cell>
        </row>
        <row r="783">
          <cell r="N783" t="str">
            <v>008111, Cataluna</v>
          </cell>
        </row>
        <row r="784">
          <cell r="N784" t="str">
            <v>008112, Sucre</v>
          </cell>
        </row>
        <row r="785">
          <cell r="N785" t="str">
            <v>008114, Parque Nacional Urbano</v>
          </cell>
        </row>
        <row r="786">
          <cell r="N786" t="str">
            <v>008201, Quinta Camacho</v>
          </cell>
        </row>
        <row r="787">
          <cell r="N787" t="str">
            <v>008202, Emaus</v>
          </cell>
        </row>
        <row r="788">
          <cell r="N788" t="str">
            <v>008203, Las Acacias</v>
          </cell>
        </row>
        <row r="789">
          <cell r="N789" t="str">
            <v>008204, Granada</v>
          </cell>
        </row>
        <row r="790">
          <cell r="N790" t="str">
            <v>008205, Maria Cristina</v>
          </cell>
        </row>
        <row r="791">
          <cell r="N791" t="str">
            <v>008206, La Salle</v>
          </cell>
        </row>
        <row r="792">
          <cell r="N792" t="str">
            <v>008207, Bosque Calderón</v>
          </cell>
        </row>
        <row r="793">
          <cell r="N793" t="str">
            <v>008208, Pardo Rubio</v>
          </cell>
        </row>
        <row r="794">
          <cell r="N794" t="str">
            <v>008211, Juan XXIII</v>
          </cell>
        </row>
        <row r="795">
          <cell r="N795" t="str">
            <v>008212, Marly</v>
          </cell>
        </row>
        <row r="796">
          <cell r="N796" t="str">
            <v>008213, Chapinero Central</v>
          </cell>
        </row>
        <row r="797">
          <cell r="N797" t="str">
            <v>008214, Chapinero Norte</v>
          </cell>
        </row>
        <row r="798">
          <cell r="N798" t="str">
            <v>008215, Ingemar</v>
          </cell>
        </row>
        <row r="799">
          <cell r="N799" t="str">
            <v>008220, Siberia Central</v>
          </cell>
        </row>
        <row r="800">
          <cell r="N800" t="str">
            <v>008221, Siberia</v>
          </cell>
        </row>
        <row r="801">
          <cell r="N801" t="str">
            <v>008301, Chicó Norte II Sector</v>
          </cell>
        </row>
        <row r="802">
          <cell r="N802" t="str">
            <v>008302, Seminario</v>
          </cell>
        </row>
        <row r="803">
          <cell r="N803" t="str">
            <v>008303, El Refugio</v>
          </cell>
        </row>
        <row r="804">
          <cell r="N804" t="str">
            <v>008304, Los Rosales</v>
          </cell>
        </row>
        <row r="805">
          <cell r="N805" t="str">
            <v>008305, Bellavista</v>
          </cell>
        </row>
        <row r="806">
          <cell r="N806" t="str">
            <v>008306, Porciuncula</v>
          </cell>
        </row>
        <row r="807">
          <cell r="N807" t="str">
            <v>008307, Chicó Norte</v>
          </cell>
        </row>
        <row r="808">
          <cell r="N808" t="str">
            <v>008308, El Chicó</v>
          </cell>
        </row>
        <row r="809">
          <cell r="N809" t="str">
            <v>008309, La Cabrera</v>
          </cell>
        </row>
        <row r="810">
          <cell r="N810" t="str">
            <v>008310, El Retiro</v>
          </cell>
        </row>
        <row r="811">
          <cell r="N811" t="str">
            <v>008311, El Nogal</v>
          </cell>
        </row>
        <row r="812">
          <cell r="N812" t="str">
            <v>008312, Espartillal</v>
          </cell>
        </row>
        <row r="813">
          <cell r="N813" t="str">
            <v>008313, Lago Gaitan</v>
          </cell>
        </row>
        <row r="814">
          <cell r="N814" t="str">
            <v>008314, Antiguo Country</v>
          </cell>
        </row>
        <row r="815">
          <cell r="N815" t="str">
            <v>008315, Chicó Norte III Sector</v>
          </cell>
        </row>
        <row r="816">
          <cell r="N816" t="str">
            <v>008319, El Bagazal</v>
          </cell>
        </row>
        <row r="817">
          <cell r="N817" t="str">
            <v>008401, La Calleja</v>
          </cell>
        </row>
        <row r="818">
          <cell r="N818" t="str">
            <v>008402, Country Club</v>
          </cell>
        </row>
        <row r="819">
          <cell r="N819" t="str">
            <v>008403, La Carolina</v>
          </cell>
        </row>
        <row r="820">
          <cell r="N820" t="str">
            <v>008404, Bella Suiza</v>
          </cell>
        </row>
        <row r="821">
          <cell r="N821" t="str">
            <v>008405, Ginebra</v>
          </cell>
        </row>
        <row r="822">
          <cell r="N822" t="str">
            <v>008406, San Gabriel Norte</v>
          </cell>
        </row>
        <row r="823">
          <cell r="N823" t="str">
            <v>008407, Usaquén</v>
          </cell>
        </row>
        <row r="824">
          <cell r="N824" t="str">
            <v>008408, Santa Ana</v>
          </cell>
        </row>
        <row r="825">
          <cell r="N825" t="str">
            <v>008409, Escuela de Caballeria I</v>
          </cell>
        </row>
        <row r="826">
          <cell r="N826" t="str">
            <v>008410, Escuela de Infanteria</v>
          </cell>
        </row>
        <row r="827">
          <cell r="N827" t="str">
            <v>008411, Rincón del Chicó</v>
          </cell>
        </row>
        <row r="828">
          <cell r="N828" t="str">
            <v>008412, Santa Bibiana</v>
          </cell>
        </row>
        <row r="829">
          <cell r="N829" t="str">
            <v>008413, Santa Bárbara Oriental</v>
          </cell>
        </row>
        <row r="830">
          <cell r="N830" t="str">
            <v>008414, Santa Ana Occidental</v>
          </cell>
        </row>
        <row r="831">
          <cell r="N831" t="str">
            <v>008415, Santa Bárbara Central</v>
          </cell>
        </row>
        <row r="832">
          <cell r="N832" t="str">
            <v>008416, Molinos Norte</v>
          </cell>
        </row>
        <row r="833">
          <cell r="N833" t="str">
            <v>008417, Santa Bárbara Occidental</v>
          </cell>
        </row>
        <row r="834">
          <cell r="N834" t="str">
            <v>008418, San Patricio</v>
          </cell>
        </row>
        <row r="835">
          <cell r="N835" t="str">
            <v>008419, Escuela de Caballeria II</v>
          </cell>
        </row>
        <row r="836">
          <cell r="N836" t="str">
            <v>008420, Paramo Urbano I</v>
          </cell>
        </row>
        <row r="837">
          <cell r="N837" t="str">
            <v>008424, Segundo Contador</v>
          </cell>
        </row>
        <row r="838">
          <cell r="N838" t="str">
            <v>008425, Ginebra II</v>
          </cell>
        </row>
        <row r="839">
          <cell r="N839" t="str">
            <v>008426, San Gabriel Norte II</v>
          </cell>
        </row>
        <row r="840">
          <cell r="N840" t="str">
            <v>008501, El Toberín</v>
          </cell>
        </row>
        <row r="841">
          <cell r="N841" t="str">
            <v>008502, La Pradera Norte</v>
          </cell>
        </row>
        <row r="842">
          <cell r="N842" t="str">
            <v>008503, Santa Teresa</v>
          </cell>
        </row>
        <row r="843">
          <cell r="N843" t="str">
            <v>008504, La Cita</v>
          </cell>
        </row>
        <row r="844">
          <cell r="N844" t="str">
            <v>008505, San Cristóbal Norte</v>
          </cell>
        </row>
        <row r="845">
          <cell r="N845" t="str">
            <v>008506, Barrancas Norte</v>
          </cell>
        </row>
        <row r="846">
          <cell r="N846" t="str">
            <v>008507, Barrancas</v>
          </cell>
        </row>
        <row r="847">
          <cell r="N847" t="str">
            <v>008508, Cedro Salazar</v>
          </cell>
        </row>
        <row r="848">
          <cell r="N848" t="str">
            <v>008509, Los Cedros Oriental</v>
          </cell>
        </row>
        <row r="849">
          <cell r="N849" t="str">
            <v>008510, Acacias Usaquén</v>
          </cell>
        </row>
        <row r="850">
          <cell r="N850" t="str">
            <v>008511, Cedro Narvaez</v>
          </cell>
        </row>
        <row r="851">
          <cell r="N851" t="str">
            <v>008512, Cedritos</v>
          </cell>
        </row>
        <row r="852">
          <cell r="N852" t="str">
            <v>008513, Lisboa</v>
          </cell>
        </row>
        <row r="853">
          <cell r="N853" t="str">
            <v>008514, El Contador</v>
          </cell>
        </row>
        <row r="854">
          <cell r="N854" t="str">
            <v>008515, Los Cedros</v>
          </cell>
        </row>
        <row r="855">
          <cell r="N855" t="str">
            <v>008516, Las Orquideas</v>
          </cell>
        </row>
        <row r="856">
          <cell r="N856" t="str">
            <v>008517, La Liberia</v>
          </cell>
        </row>
        <row r="857">
          <cell r="N857" t="str">
            <v>008518, Caobos Salazar</v>
          </cell>
        </row>
        <row r="858">
          <cell r="N858" t="str">
            <v>008519, Estrella del Norte</v>
          </cell>
        </row>
        <row r="859">
          <cell r="N859" t="str">
            <v>008520, Bosque de Pinos</v>
          </cell>
        </row>
        <row r="860">
          <cell r="N860" t="str">
            <v>008521, Tibabita</v>
          </cell>
        </row>
        <row r="861">
          <cell r="N861" t="str">
            <v>008522, El Rocio Norte</v>
          </cell>
        </row>
        <row r="862">
          <cell r="N862" t="str">
            <v>008523, San Antonio Norte</v>
          </cell>
        </row>
        <row r="863">
          <cell r="N863" t="str">
            <v>008524, La Granja Norte</v>
          </cell>
        </row>
        <row r="864">
          <cell r="N864" t="str">
            <v>008525, La Uribe</v>
          </cell>
        </row>
        <row r="865">
          <cell r="N865" t="str">
            <v>008526, El Vervenal</v>
          </cell>
        </row>
        <row r="866">
          <cell r="N866" t="str">
            <v>008527, El Cerezo</v>
          </cell>
        </row>
        <row r="867">
          <cell r="N867" t="str">
            <v>008528, San Antonio Noroccidental</v>
          </cell>
        </row>
        <row r="868">
          <cell r="N868" t="str">
            <v>008529, San José de Usaquén</v>
          </cell>
        </row>
        <row r="869">
          <cell r="N869" t="str">
            <v>008530, Las Margaritas</v>
          </cell>
        </row>
        <row r="870">
          <cell r="N870" t="str">
            <v>008532, El Redil</v>
          </cell>
        </row>
        <row r="871">
          <cell r="N871" t="str">
            <v>008533, Horizontes Norte</v>
          </cell>
        </row>
        <row r="872">
          <cell r="N872" t="str">
            <v>008535, Buenavista</v>
          </cell>
        </row>
        <row r="873">
          <cell r="N873" t="str">
            <v>008536, Bosque de Pinos I</v>
          </cell>
        </row>
        <row r="874">
          <cell r="N874" t="str">
            <v>008537, Verbenal San Antonio</v>
          </cell>
        </row>
        <row r="875">
          <cell r="N875" t="str">
            <v>008538, Bosque de Pinos III</v>
          </cell>
        </row>
        <row r="876">
          <cell r="N876" t="str">
            <v>008539, Torca I</v>
          </cell>
        </row>
        <row r="877">
          <cell r="N877" t="str">
            <v>008540, La Estrellita I</v>
          </cell>
        </row>
        <row r="878">
          <cell r="N878" t="str">
            <v>008542, Tibabita I</v>
          </cell>
        </row>
        <row r="879">
          <cell r="N879" t="str">
            <v>008543, Santa Cecilia Puente Norte</v>
          </cell>
        </row>
        <row r="880">
          <cell r="N880" t="str">
            <v>008544, Canaima</v>
          </cell>
        </row>
        <row r="881">
          <cell r="N881" t="str">
            <v>008545, Mirador del Norte</v>
          </cell>
        </row>
        <row r="882">
          <cell r="N882" t="str">
            <v>008547, La Estrellita III</v>
          </cell>
        </row>
        <row r="883">
          <cell r="N883" t="str">
            <v>009101, Granada Norte</v>
          </cell>
        </row>
        <row r="884">
          <cell r="N884" t="str">
            <v>009102, Britalia</v>
          </cell>
        </row>
        <row r="885">
          <cell r="N885" t="str">
            <v>009103, Cantagallo</v>
          </cell>
        </row>
        <row r="886">
          <cell r="N886" t="str">
            <v>009104, Victoria Norte</v>
          </cell>
        </row>
        <row r="887">
          <cell r="N887" t="str">
            <v>009105, Prado Pinzon</v>
          </cell>
        </row>
        <row r="888">
          <cell r="N888" t="str">
            <v>009106, San Jose del Prado</v>
          </cell>
        </row>
        <row r="889">
          <cell r="N889" t="str">
            <v>009107, Prado Veraniego</v>
          </cell>
        </row>
        <row r="890">
          <cell r="N890" t="str">
            <v>009108, Ciudad Jardín Norte</v>
          </cell>
        </row>
        <row r="891">
          <cell r="N891" t="str">
            <v>009109, Niza Sur</v>
          </cell>
        </row>
        <row r="892">
          <cell r="N892" t="str">
            <v>009110, Mazuren</v>
          </cell>
        </row>
        <row r="893">
          <cell r="N893" t="str">
            <v>009111, Monaco</v>
          </cell>
        </row>
        <row r="894">
          <cell r="N894" t="str">
            <v>009112, Niza Suba</v>
          </cell>
        </row>
        <row r="895">
          <cell r="N895" t="str">
            <v>009113, San José de Bavaria</v>
          </cell>
        </row>
        <row r="896">
          <cell r="N896" t="str">
            <v>009114, Gilmar</v>
          </cell>
        </row>
        <row r="897">
          <cell r="N897" t="str">
            <v>009115, Iberia</v>
          </cell>
        </row>
        <row r="898">
          <cell r="N898" t="str">
            <v>009116, Prado Veraniego Norte</v>
          </cell>
        </row>
        <row r="899">
          <cell r="N899" t="str">
            <v>009117, Prado Veraniego Sur</v>
          </cell>
        </row>
        <row r="900">
          <cell r="N900" t="str">
            <v>009118, Batan</v>
          </cell>
        </row>
        <row r="901">
          <cell r="N901" t="str">
            <v>009119, Atenas</v>
          </cell>
        </row>
        <row r="902">
          <cell r="N902" t="str">
            <v>009120, Nueva Zelandia</v>
          </cell>
        </row>
        <row r="903">
          <cell r="N903" t="str">
            <v>009121, Club de Los Lagartos</v>
          </cell>
        </row>
        <row r="904">
          <cell r="N904" t="str">
            <v>009122, Las Villas</v>
          </cell>
        </row>
        <row r="905">
          <cell r="N905" t="str">
            <v>009123, Niza Norte</v>
          </cell>
        </row>
        <row r="906">
          <cell r="N906" t="str">
            <v>009124, Puente Largo</v>
          </cell>
        </row>
        <row r="907">
          <cell r="N907" t="str">
            <v>009125, Pasadena</v>
          </cell>
        </row>
        <row r="908">
          <cell r="N908" t="str">
            <v>009126, Estoril</v>
          </cell>
        </row>
        <row r="909">
          <cell r="N909" t="str">
            <v>009127, Andes Norte</v>
          </cell>
        </row>
        <row r="910">
          <cell r="N910" t="str">
            <v>009128, El Plan</v>
          </cell>
        </row>
        <row r="911">
          <cell r="N911" t="str">
            <v>009129, Villa del Prado</v>
          </cell>
        </row>
        <row r="912">
          <cell r="N912" t="str">
            <v>009130, Canodromo</v>
          </cell>
        </row>
        <row r="913">
          <cell r="N913" t="str">
            <v>009131, Santa Helena</v>
          </cell>
        </row>
        <row r="914">
          <cell r="N914" t="str">
            <v>009132, Escuela de Carabineros</v>
          </cell>
        </row>
        <row r="915">
          <cell r="N915" t="str">
            <v>009133, Mirandela</v>
          </cell>
        </row>
        <row r="916">
          <cell r="N916" t="str">
            <v>009134, San Jose V Sector</v>
          </cell>
        </row>
        <row r="917">
          <cell r="N917" t="str">
            <v>009135, Portales del Norte</v>
          </cell>
        </row>
        <row r="918">
          <cell r="N918" t="str">
            <v>009136, Casablanca Suba Urbano</v>
          </cell>
        </row>
        <row r="919">
          <cell r="N919" t="str">
            <v>009138, Casablanca Suba Urbano I</v>
          </cell>
        </row>
        <row r="920">
          <cell r="N920" t="str">
            <v>009139, Casablanca Suba Urbano II</v>
          </cell>
        </row>
        <row r="921">
          <cell r="N921" t="str">
            <v>009140, Nuestra Senora del Rosario</v>
          </cell>
        </row>
        <row r="922">
          <cell r="N922" t="str">
            <v>009141, La Candelaria</v>
          </cell>
        </row>
        <row r="923">
          <cell r="N923" t="str">
            <v>009142, Conejera</v>
          </cell>
        </row>
        <row r="924">
          <cell r="N924" t="str">
            <v>009201, Los Naranjos</v>
          </cell>
        </row>
        <row r="925">
          <cell r="N925" t="str">
            <v>009202, El Rincón</v>
          </cell>
        </row>
        <row r="926">
          <cell r="N926" t="str">
            <v>009203, Puerta del Sol</v>
          </cell>
        </row>
        <row r="927">
          <cell r="N927" t="str">
            <v>009204, El Rincón Norte</v>
          </cell>
        </row>
        <row r="928">
          <cell r="N928" t="str">
            <v>009205, Aures</v>
          </cell>
        </row>
        <row r="929">
          <cell r="N929" t="str">
            <v>009206, Aures II</v>
          </cell>
        </row>
        <row r="930">
          <cell r="N930" t="str">
            <v>009207, Villa Elisa</v>
          </cell>
        </row>
        <row r="931">
          <cell r="N931" t="str">
            <v>009208, Costa Azul</v>
          </cell>
        </row>
        <row r="932">
          <cell r="N932" t="str">
            <v>009209, Villa Maria</v>
          </cell>
        </row>
        <row r="933">
          <cell r="N933" t="str">
            <v>009210, Las Flores</v>
          </cell>
        </row>
        <row r="934">
          <cell r="N934" t="str">
            <v>009211, El Poa</v>
          </cell>
        </row>
        <row r="935">
          <cell r="N935" t="str">
            <v>009212, Suba Urbano</v>
          </cell>
        </row>
        <row r="936">
          <cell r="N936" t="str">
            <v>009213, El Pino</v>
          </cell>
        </row>
        <row r="937">
          <cell r="N937" t="str">
            <v>009214, Tuna Alta</v>
          </cell>
        </row>
        <row r="938">
          <cell r="N938" t="str">
            <v>009215, Casablanca Suba</v>
          </cell>
        </row>
        <row r="939">
          <cell r="N939" t="str">
            <v>009216, La Gaitana</v>
          </cell>
        </row>
        <row r="940">
          <cell r="N940" t="str">
            <v>009217, Rincón de Santa Inés</v>
          </cell>
        </row>
        <row r="941">
          <cell r="N941" t="str">
            <v>009218, Almirante Colon</v>
          </cell>
        </row>
        <row r="942">
          <cell r="N942" t="str">
            <v>009219, Campanella</v>
          </cell>
        </row>
        <row r="943">
          <cell r="N943" t="str">
            <v>009220, Lago de Suba</v>
          </cell>
        </row>
        <row r="944">
          <cell r="N944" t="str">
            <v>009221, La Chucua</v>
          </cell>
        </row>
        <row r="945">
          <cell r="N945" t="str">
            <v>009222, Altos de Chozica</v>
          </cell>
        </row>
        <row r="946">
          <cell r="N946" t="str">
            <v>009223, Ttes de Colombia</v>
          </cell>
        </row>
        <row r="947">
          <cell r="N947" t="str">
            <v>009224, Nueva Tibabuyes</v>
          </cell>
        </row>
        <row r="948">
          <cell r="N948" t="str">
            <v>009225, Tibabuyes UnIVersal</v>
          </cell>
        </row>
        <row r="949">
          <cell r="N949" t="str">
            <v>009226, Salitre Suba</v>
          </cell>
        </row>
        <row r="950">
          <cell r="N950" t="str">
            <v>009227, Lech Walesa</v>
          </cell>
        </row>
        <row r="951">
          <cell r="N951" t="str">
            <v>009228, Lombardia</v>
          </cell>
        </row>
        <row r="952">
          <cell r="N952" t="str">
            <v>009229, Toscana</v>
          </cell>
        </row>
        <row r="953">
          <cell r="N953" t="str">
            <v>009230, San Cayetano</v>
          </cell>
        </row>
        <row r="954">
          <cell r="N954" t="str">
            <v>009231, Suba Cerros</v>
          </cell>
        </row>
        <row r="955">
          <cell r="N955" t="str">
            <v>009232, Sabana de Tibabuyes</v>
          </cell>
        </row>
        <row r="956">
          <cell r="N956" t="str">
            <v>009233, Tibabuyes</v>
          </cell>
        </row>
        <row r="957">
          <cell r="N957" t="str">
            <v>009234, Sabana de Tibabuyes Norte</v>
          </cell>
        </row>
        <row r="958">
          <cell r="N958" t="str">
            <v>009235, Ciudad Hunza</v>
          </cell>
        </row>
        <row r="959">
          <cell r="N959" t="str">
            <v>009236, La Carolina de Suba</v>
          </cell>
        </row>
        <row r="960">
          <cell r="N960" t="str">
            <v>009237, Rincón de Suba</v>
          </cell>
        </row>
        <row r="961">
          <cell r="N961" t="str">
            <v>009238, Santa Teresa de Suba</v>
          </cell>
        </row>
        <row r="962">
          <cell r="N962" t="str">
            <v>009239, Las Mercedes Suba</v>
          </cell>
        </row>
        <row r="963">
          <cell r="N963" t="str">
            <v>009240, Potrerillo</v>
          </cell>
        </row>
        <row r="964">
          <cell r="N964" t="str">
            <v>009241, Bosques de San Jorge</v>
          </cell>
        </row>
        <row r="965">
          <cell r="N965" t="str">
            <v>009242, Tuna Baja</v>
          </cell>
        </row>
        <row r="966">
          <cell r="N966" t="str">
            <v>009243, Las Mercedes I</v>
          </cell>
        </row>
        <row r="967">
          <cell r="N967" t="str">
            <v>009244, Villa Hermosa</v>
          </cell>
        </row>
        <row r="968">
          <cell r="N968" t="str">
            <v>009245, Pinos de Lombardia</v>
          </cell>
        </row>
        <row r="969">
          <cell r="N969" t="str">
            <v>009246, Delmonte</v>
          </cell>
        </row>
        <row r="970">
          <cell r="N970" t="str">
            <v>009247, Iragua</v>
          </cell>
        </row>
        <row r="971">
          <cell r="N971" t="str">
            <v>009248, Tibabuyes II</v>
          </cell>
        </row>
        <row r="972">
          <cell r="N972" t="str">
            <v>009249, Vereda Suba Naranjos</v>
          </cell>
        </row>
        <row r="973">
          <cell r="N973" t="str">
            <v>009250, Tibabuyes Occidental</v>
          </cell>
        </row>
        <row r="974">
          <cell r="N974" t="str">
            <v>009251, San Carlos de Suba</v>
          </cell>
        </row>
        <row r="975">
          <cell r="N975" t="str">
            <v>009252, Bilbao</v>
          </cell>
        </row>
        <row r="976">
          <cell r="N976" t="str">
            <v>009253, San Pedro</v>
          </cell>
        </row>
        <row r="977">
          <cell r="N977" t="str">
            <v>009254, Lisboa</v>
          </cell>
        </row>
        <row r="978">
          <cell r="N978" t="str">
            <v>009255, Santa Rita de Suba</v>
          </cell>
        </row>
        <row r="979">
          <cell r="N979" t="str">
            <v>009256, Santa Cecilia</v>
          </cell>
        </row>
        <row r="980">
          <cell r="N980" t="str">
            <v>009257, Tibabuyes</v>
          </cell>
        </row>
        <row r="981">
          <cell r="N981" t="str">
            <v>009258, Casa Blanca Suba I</v>
          </cell>
        </row>
        <row r="982">
          <cell r="N982" t="str">
            <v>009259, Berlin</v>
          </cell>
        </row>
        <row r="983">
          <cell r="N983" t="str">
            <v>009260, Altos de Suba</v>
          </cell>
        </row>
        <row r="984">
          <cell r="N984" t="str">
            <v>009261, Tuna</v>
          </cell>
        </row>
        <row r="985">
          <cell r="N985" t="str">
            <v>009262, La Gaitana Oriental</v>
          </cell>
        </row>
        <row r="986">
          <cell r="N986" t="str">
            <v>009263, Villa Alcázar</v>
          </cell>
        </row>
        <row r="987">
          <cell r="N987" t="str">
            <v>009265, Vereda Suba Cerros II</v>
          </cell>
        </row>
        <row r="988">
          <cell r="N988" t="str">
            <v>009266, Rincón Altamar</v>
          </cell>
        </row>
        <row r="989">
          <cell r="N989" t="str">
            <v>009267, Villa Maria I</v>
          </cell>
        </row>
        <row r="990">
          <cell r="N990" t="str">
            <v>009268, Santa Cecilia de Suba I</v>
          </cell>
        </row>
        <row r="991">
          <cell r="N991" t="str">
            <v>101101, El Bagazal</v>
          </cell>
        </row>
        <row r="992">
          <cell r="N992" t="str">
            <v>101103, Ingemar Oriental Rural</v>
          </cell>
        </row>
        <row r="993">
          <cell r="N993" t="str">
            <v>101110, Paramo I Rural</v>
          </cell>
        </row>
        <row r="994">
          <cell r="N994" t="str">
            <v>101201, Hoya Teusaca</v>
          </cell>
        </row>
        <row r="995">
          <cell r="N995" t="str">
            <v>101301, Hoya San Cristóbal</v>
          </cell>
        </row>
        <row r="996">
          <cell r="N996" t="str">
            <v>101302, Molino Rural</v>
          </cell>
        </row>
        <row r="997">
          <cell r="N997" t="str">
            <v>101306, Tibaque</v>
          </cell>
        </row>
        <row r="998">
          <cell r="N998" t="str">
            <v>101307, Tihuaque Rural</v>
          </cell>
        </row>
        <row r="999">
          <cell r="N999" t="str">
            <v>101308, Chiguaza Rural</v>
          </cell>
        </row>
        <row r="1000">
          <cell r="N1000" t="str">
            <v>101309, La Arboleda Rural</v>
          </cell>
        </row>
        <row r="1001">
          <cell r="N1001" t="str">
            <v>101405, Parque Nacional Oriental</v>
          </cell>
        </row>
        <row r="1002">
          <cell r="N1002" t="str">
            <v>101502, Siberia</v>
          </cell>
        </row>
        <row r="1003">
          <cell r="N1003" t="str">
            <v>102110, El Porvenir de Los Soches</v>
          </cell>
        </row>
        <row r="1004">
          <cell r="N1004" t="str">
            <v>102111, Los Arrayanes</v>
          </cell>
        </row>
        <row r="1005">
          <cell r="N1005" t="str">
            <v>102112, El Hato</v>
          </cell>
        </row>
        <row r="1006">
          <cell r="N1006" t="str">
            <v>102113, Las Margaritas</v>
          </cell>
        </row>
        <row r="1007">
          <cell r="N1007" t="str">
            <v>102114, Los Andes</v>
          </cell>
        </row>
        <row r="1008">
          <cell r="N1008" t="str">
            <v>102115, La Union</v>
          </cell>
        </row>
        <row r="1009">
          <cell r="N1009" t="str">
            <v>102116, Chisaca</v>
          </cell>
        </row>
        <row r="1010">
          <cell r="N1010" t="str">
            <v>102118, Las Violetas Rural</v>
          </cell>
        </row>
        <row r="1011">
          <cell r="N1011" t="str">
            <v>102122, La Requilina Rural</v>
          </cell>
        </row>
        <row r="1012">
          <cell r="N1012" t="str">
            <v>102211, Liliana</v>
          </cell>
        </row>
        <row r="1013">
          <cell r="N1013" t="str">
            <v>102309, El Bosque Sur Oriental Rural II</v>
          </cell>
        </row>
        <row r="1014">
          <cell r="N1014" t="str">
            <v>102310, El Bosque Sur Oriental Rural I</v>
          </cell>
        </row>
        <row r="1015">
          <cell r="N1015" t="str">
            <v>102312, Ciudad Londres Rural</v>
          </cell>
        </row>
        <row r="1016">
          <cell r="N1016" t="str">
            <v>102401, Los Arrayanes</v>
          </cell>
        </row>
        <row r="1017">
          <cell r="N1017" t="str">
            <v>102405, Pepinitos</v>
          </cell>
        </row>
        <row r="1018">
          <cell r="N1018" t="str">
            <v>102406, El Bosque Central</v>
          </cell>
        </row>
        <row r="1019">
          <cell r="N1019" t="str">
            <v>102407, Tibaque Sur</v>
          </cell>
        </row>
        <row r="1020">
          <cell r="N1020" t="str">
            <v>102412, Tocaimita Sur</v>
          </cell>
        </row>
        <row r="1021">
          <cell r="N1021" t="str">
            <v>102502, El Uval Rural</v>
          </cell>
        </row>
        <row r="1022">
          <cell r="N1022" t="str">
            <v>102506, Portal Rural II</v>
          </cell>
        </row>
        <row r="1023">
          <cell r="N1023" t="str">
            <v>102601, Centro Usme Rural</v>
          </cell>
        </row>
        <row r="1024">
          <cell r="N1024" t="str">
            <v>102602, Centro Usme Rural I</v>
          </cell>
        </row>
        <row r="1025">
          <cell r="N1025" t="str">
            <v>102603, Centro Usme Rural II</v>
          </cell>
        </row>
        <row r="1026">
          <cell r="N1026" t="str">
            <v>102604, La Requilina Rural II</v>
          </cell>
        </row>
        <row r="1027">
          <cell r="N1027" t="str">
            <v>102707, Olarte</v>
          </cell>
        </row>
        <row r="1028">
          <cell r="N1028" t="str">
            <v>102808, La Regadera</v>
          </cell>
        </row>
        <row r="1029">
          <cell r="N1029" t="str">
            <v>102909, San Benito</v>
          </cell>
        </row>
        <row r="1030">
          <cell r="N1030" t="str">
            <v>102910, Arrayan</v>
          </cell>
        </row>
        <row r="1031">
          <cell r="N1031" t="str">
            <v>102911, Curubital</v>
          </cell>
        </row>
        <row r="1032">
          <cell r="N1032" t="str">
            <v>103101, Santa Rosa Alta</v>
          </cell>
        </row>
        <row r="1033">
          <cell r="N1033" t="str">
            <v>103102, Taquecitos</v>
          </cell>
        </row>
        <row r="1034">
          <cell r="N1034" t="str">
            <v>103103, Santa Rosa Baja</v>
          </cell>
        </row>
        <row r="1035">
          <cell r="N1035" t="str">
            <v>103104, Las Animas</v>
          </cell>
        </row>
        <row r="1036">
          <cell r="N1036" t="str">
            <v>103105, Las Auras</v>
          </cell>
        </row>
        <row r="1037">
          <cell r="N1037" t="str">
            <v>103106, Nazareth</v>
          </cell>
        </row>
        <row r="1038">
          <cell r="N1038" t="str">
            <v>103107, Las Palmas</v>
          </cell>
        </row>
        <row r="1039">
          <cell r="N1039" t="str">
            <v>103108, Los Rios</v>
          </cell>
        </row>
        <row r="1040">
          <cell r="N1040" t="str">
            <v>103109, Las Sopas</v>
          </cell>
        </row>
        <row r="1041">
          <cell r="N1041" t="str">
            <v>103201, Betania</v>
          </cell>
        </row>
        <row r="1042">
          <cell r="N1042" t="str">
            <v>103202, El Istmo</v>
          </cell>
        </row>
        <row r="1043">
          <cell r="N1043" t="str">
            <v>103203, El Tabaco</v>
          </cell>
        </row>
        <row r="1044">
          <cell r="N1044" t="str">
            <v>103204, Laguna Verde</v>
          </cell>
        </row>
        <row r="1045">
          <cell r="N1045" t="str">
            <v>103205, Raizal</v>
          </cell>
        </row>
        <row r="1046">
          <cell r="N1046" t="str">
            <v>103206, Penalisa</v>
          </cell>
        </row>
        <row r="1047">
          <cell r="N1047" t="str">
            <v>104102, Pasquillita</v>
          </cell>
        </row>
        <row r="1048">
          <cell r="N1048" t="str">
            <v>104104, Pasquilla</v>
          </cell>
        </row>
        <row r="1049">
          <cell r="N1049" t="str">
            <v>104107, Bella Flor Sur Rural</v>
          </cell>
        </row>
        <row r="1050">
          <cell r="N1050" t="str">
            <v>104108, Las Mercedes</v>
          </cell>
        </row>
        <row r="1051">
          <cell r="N1051" t="str">
            <v>104110, Quiba Bajo</v>
          </cell>
        </row>
        <row r="1052">
          <cell r="N1052" t="str">
            <v>104112, Santa Rosa</v>
          </cell>
        </row>
        <row r="1053">
          <cell r="N1053" t="str">
            <v>104113, Santa Bárbara</v>
          </cell>
        </row>
        <row r="1054">
          <cell r="N1054" t="str">
            <v>104114, Quiba Alto</v>
          </cell>
        </row>
        <row r="1055">
          <cell r="N1055" t="str">
            <v>104118, Ciudad Bolívar Rural III</v>
          </cell>
        </row>
        <row r="1056">
          <cell r="N1056" t="str">
            <v>104119, Ciudad Bolívar Rural I</v>
          </cell>
        </row>
        <row r="1057">
          <cell r="N1057" t="str">
            <v>104127, El Mochuelo IV</v>
          </cell>
        </row>
        <row r="1058">
          <cell r="N1058" t="str">
            <v>104128, El Mochuelo III</v>
          </cell>
        </row>
        <row r="1059">
          <cell r="N1059" t="str">
            <v>104129, El Mochuelo II</v>
          </cell>
        </row>
        <row r="1060">
          <cell r="N1060" t="str">
            <v>104130, Brazuelos Occidental Rural</v>
          </cell>
        </row>
        <row r="1061">
          <cell r="N1061" t="str">
            <v>104131, Mochuelo Alto Rural</v>
          </cell>
        </row>
        <row r="1062">
          <cell r="N1062" t="str">
            <v>105103, San Pedro</v>
          </cell>
        </row>
        <row r="1063">
          <cell r="N1063" t="str">
            <v>105104, El Tintal</v>
          </cell>
        </row>
        <row r="1064">
          <cell r="N1064" t="str">
            <v>105105, Vereda El Tintal Rural</v>
          </cell>
        </row>
        <row r="1065">
          <cell r="N1065" t="str">
            <v>105203, Osorio II</v>
          </cell>
        </row>
        <row r="1066">
          <cell r="N1066" t="str">
            <v>105210, Osorio X</v>
          </cell>
        </row>
        <row r="1067">
          <cell r="N1067" t="str">
            <v>105223, Osorio XXIII</v>
          </cell>
        </row>
        <row r="1068">
          <cell r="N1068" t="str">
            <v>105314, El Corzo Rural</v>
          </cell>
        </row>
        <row r="1069">
          <cell r="N1069" t="str">
            <v>105318, San Bernardino XVIII</v>
          </cell>
        </row>
        <row r="1070">
          <cell r="N1070" t="str">
            <v>105325, San Bernardino XXV</v>
          </cell>
        </row>
        <row r="1071">
          <cell r="N1071" t="str">
            <v>105401, El Chanco Rural II</v>
          </cell>
        </row>
        <row r="1072">
          <cell r="N1072" t="str">
            <v>105402, Charco Rural</v>
          </cell>
        </row>
        <row r="1073">
          <cell r="N1073" t="str">
            <v>105403, El Chanco Rural III</v>
          </cell>
        </row>
        <row r="1074">
          <cell r="N1074" t="str">
            <v>106201, El Pantano</v>
          </cell>
        </row>
        <row r="1075">
          <cell r="N1075" t="str">
            <v>106301, Engativá El Dorado</v>
          </cell>
        </row>
        <row r="1076">
          <cell r="N1076" t="str">
            <v>107101, Guaymaral</v>
          </cell>
        </row>
        <row r="1077">
          <cell r="N1077" t="str">
            <v>107102, Casablanca Suba</v>
          </cell>
        </row>
        <row r="1078">
          <cell r="N1078" t="str">
            <v>107106, Tuna Rural</v>
          </cell>
        </row>
        <row r="1079">
          <cell r="N1079" t="str">
            <v>107107, Las Mercedes Suba Rural</v>
          </cell>
        </row>
        <row r="1080">
          <cell r="N1080" t="str">
            <v>107109, Barajas Norte</v>
          </cell>
        </row>
        <row r="1081">
          <cell r="N1081" t="str">
            <v>107110, Casablanca Suba I</v>
          </cell>
        </row>
        <row r="1082">
          <cell r="N1082" t="str">
            <v>107111, Casablanca Suba II</v>
          </cell>
        </row>
        <row r="1083">
          <cell r="N1083" t="str">
            <v>107112, La Lomita</v>
          </cell>
        </row>
        <row r="1084">
          <cell r="N1084" t="str">
            <v>108101, Torca Rural I</v>
          </cell>
        </row>
        <row r="1085">
          <cell r="N1085" t="str">
            <v>108102, Tibabita Rural</v>
          </cell>
        </row>
        <row r="1086">
          <cell r="N1086" t="str">
            <v>108103, Barrancas Oriental Rural</v>
          </cell>
        </row>
        <row r="1087">
          <cell r="N1087" t="str">
            <v>108104, Paramo</v>
          </cell>
        </row>
        <row r="1088">
          <cell r="N1088" t="str">
            <v>108108, Paramo II</v>
          </cell>
        </row>
        <row r="1089">
          <cell r="N1089" t="str">
            <v>108109, Paramo I</v>
          </cell>
        </row>
        <row r="1090">
          <cell r="N1090" t="str">
            <v>108110, Torca Rural II</v>
          </cell>
        </row>
        <row r="1091">
          <cell r="N1091" t="str">
            <v>108111, Tibabita Rural I</v>
          </cell>
        </row>
        <row r="1092">
          <cell r="N1092" t="str">
            <v>108112, Paramo II Rural</v>
          </cell>
        </row>
        <row r="1093">
          <cell r="N1093" t="str">
            <v>108113, Bosque de Pinos III Rural</v>
          </cell>
        </row>
        <row r="1094">
          <cell r="N1094" t="str">
            <v>108114, Paramo III Rural</v>
          </cell>
        </row>
        <row r="1095">
          <cell r="N1095" t="str">
            <v>109101, El Toldo</v>
          </cell>
        </row>
        <row r="1096">
          <cell r="N1096" t="str">
            <v>109102, San Antonio</v>
          </cell>
        </row>
        <row r="1097">
          <cell r="N1097" t="str">
            <v>109103, Las Vegas</v>
          </cell>
        </row>
        <row r="1098">
          <cell r="N1098" t="str">
            <v>109104, San Juan</v>
          </cell>
        </row>
        <row r="1099">
          <cell r="N1099" t="str">
            <v>109105, Santo Domingo</v>
          </cell>
        </row>
        <row r="1100">
          <cell r="N1100" t="str">
            <v>109106, La Union</v>
          </cell>
        </row>
        <row r="1101">
          <cell r="N1101" t="str">
            <v>109107, Chorreras</v>
          </cell>
        </row>
        <row r="1102">
          <cell r="N1102" t="str">
            <v>109109, Tunal Alto</v>
          </cell>
        </row>
        <row r="1103">
          <cell r="N1103" t="str">
            <v>109110, Concepcion</v>
          </cell>
        </row>
        <row r="1104">
          <cell r="N1104" t="str">
            <v>109111, San Jose</v>
          </cell>
        </row>
        <row r="1105">
          <cell r="N1105" t="str">
            <v>109112, Capitolio</v>
          </cell>
        </row>
        <row r="1106">
          <cell r="N1106" t="str">
            <v>109113, Lagunitas</v>
          </cell>
        </row>
        <row r="1107">
          <cell r="N1107" t="str">
            <v>109114, Tunal Bajo</v>
          </cell>
        </row>
        <row r="1108">
          <cell r="N1108" t="str">
            <v>109116, Nueva Granada</v>
          </cell>
        </row>
        <row r="1109">
          <cell r="N1109" t="str">
            <v>201105, El Refugio I</v>
          </cell>
        </row>
        <row r="1110">
          <cell r="N1110" t="str">
            <v>201108, El Refugio II</v>
          </cell>
        </row>
        <row r="1111">
          <cell r="N1111" t="str">
            <v>201109, Ingemar I</v>
          </cell>
        </row>
        <row r="1112">
          <cell r="N1112" t="str">
            <v>201110, Ingemar Oriental I</v>
          </cell>
        </row>
        <row r="1113">
          <cell r="N1113" t="str">
            <v>201302, El Triángulo</v>
          </cell>
        </row>
        <row r="1114">
          <cell r="N1114" t="str">
            <v>201304, Aguas Claras</v>
          </cell>
        </row>
        <row r="1115">
          <cell r="N1115" t="str">
            <v>201306, Tibaque I</v>
          </cell>
        </row>
        <row r="1116">
          <cell r="N1116" t="str">
            <v>201309, Tibaque II</v>
          </cell>
        </row>
        <row r="1117">
          <cell r="N1117" t="str">
            <v>201404, La Peña Rural</v>
          </cell>
        </row>
        <row r="1118">
          <cell r="N1118" t="str">
            <v>201502, Siberia Rural</v>
          </cell>
        </row>
        <row r="1119">
          <cell r="N1119" t="str">
            <v>201503, Siberia II</v>
          </cell>
        </row>
        <row r="1120">
          <cell r="N1120" t="str">
            <v>202203, Bolonia I</v>
          </cell>
        </row>
        <row r="1121">
          <cell r="N1121" t="str">
            <v>202204, La Esperanza Sur I</v>
          </cell>
        </row>
        <row r="1122">
          <cell r="N1122" t="str">
            <v>202309, El Bosque Sur Oriental Rural III</v>
          </cell>
        </row>
        <row r="1123">
          <cell r="N1123" t="str">
            <v>202404, San Felipe de Usme Rural</v>
          </cell>
        </row>
        <row r="1124">
          <cell r="N1124" t="str">
            <v>202410, Tocaimita Oriental</v>
          </cell>
        </row>
        <row r="1125">
          <cell r="N1125" t="str">
            <v>202502, El Uval</v>
          </cell>
        </row>
        <row r="1126">
          <cell r="N1126" t="str">
            <v>202506, El Nuevo Portal II Rural</v>
          </cell>
        </row>
        <row r="1127">
          <cell r="N1127" t="str">
            <v>202511, Puerta Al Llano Rural</v>
          </cell>
        </row>
        <row r="1128">
          <cell r="N1128" t="str">
            <v>202601, Centro Usme</v>
          </cell>
        </row>
        <row r="1129">
          <cell r="N1129" t="str">
            <v>203106, Nazareth Urbano</v>
          </cell>
        </row>
        <row r="1130">
          <cell r="N1130" t="str">
            <v>204104, Pasquilla Urbana</v>
          </cell>
        </row>
        <row r="1131">
          <cell r="N1131" t="str">
            <v>204106, Nueva Esperanza</v>
          </cell>
        </row>
        <row r="1132">
          <cell r="N1132" t="str">
            <v>204107, El Mirador II</v>
          </cell>
        </row>
        <row r="1133">
          <cell r="N1133" t="str">
            <v>204128, Quiba Rural</v>
          </cell>
        </row>
        <row r="1134">
          <cell r="N1134" t="str">
            <v>204129, El Mochuelo II Norte</v>
          </cell>
        </row>
        <row r="1135">
          <cell r="N1135" t="str">
            <v>204131, Mochuelo Alto Urbano</v>
          </cell>
        </row>
        <row r="1136">
          <cell r="N1136" t="str">
            <v>204304, Lagunitas</v>
          </cell>
        </row>
        <row r="1137">
          <cell r="N1137" t="str">
            <v>205101, Vereda El Tintal Urbano</v>
          </cell>
        </row>
        <row r="1138">
          <cell r="N1138" t="str">
            <v>205102, Vereda El Tintal</v>
          </cell>
        </row>
        <row r="1139">
          <cell r="N1139" t="str">
            <v>205209, El Jazmin</v>
          </cell>
        </row>
        <row r="1140">
          <cell r="N1140" t="str">
            <v>205221, Galan Rural</v>
          </cell>
        </row>
        <row r="1141">
          <cell r="N1141" t="str">
            <v>205225, Las Acacias Rural</v>
          </cell>
        </row>
        <row r="1142">
          <cell r="N1142" t="str">
            <v>205308, Cañaveralejo Rural</v>
          </cell>
        </row>
        <row r="1143">
          <cell r="N1143" t="str">
            <v>205316, Villa Emma</v>
          </cell>
        </row>
        <row r="1144">
          <cell r="N1144" t="str">
            <v>205318, San Bernardino XVIII</v>
          </cell>
        </row>
        <row r="1145">
          <cell r="N1145" t="str">
            <v>205319, San Bernardino XIX</v>
          </cell>
        </row>
        <row r="1146">
          <cell r="N1146" t="str">
            <v>205320, El Remanso</v>
          </cell>
        </row>
        <row r="1147">
          <cell r="N1147" t="str">
            <v>205322, Campo Verde</v>
          </cell>
        </row>
        <row r="1148">
          <cell r="N1148" t="str">
            <v>205401, El Chanco II</v>
          </cell>
        </row>
        <row r="1149">
          <cell r="N1149" t="str">
            <v>205402, El Charco</v>
          </cell>
        </row>
        <row r="1150">
          <cell r="N1150" t="str">
            <v>208101, Paramo IV</v>
          </cell>
        </row>
        <row r="1151">
          <cell r="N1151" t="str">
            <v>208103, Barrancas Oriental</v>
          </cell>
        </row>
        <row r="1152">
          <cell r="N1152" t="str">
            <v>208104, Paramo Urbano</v>
          </cell>
        </row>
        <row r="1153">
          <cell r="N1153" t="str">
            <v>208107, La Esperanza</v>
          </cell>
        </row>
        <row r="1154">
          <cell r="N1154" t="str">
            <v>208108, San Isidro Rural</v>
          </cell>
        </row>
        <row r="1155">
          <cell r="N1155" t="str">
            <v>208110, San Luis Altos del Cabo Rural</v>
          </cell>
        </row>
        <row r="1156">
          <cell r="N1156" t="str">
            <v>208111, San Isidro Rural</v>
          </cell>
        </row>
        <row r="1157">
          <cell r="N1157" t="str">
            <v>208125, San Luis Altos del Cabo Rural II</v>
          </cell>
        </row>
        <row r="1158">
          <cell r="N1158" t="str">
            <v>208126, San Isidro Rural II</v>
          </cell>
        </row>
        <row r="1159">
          <cell r="N1159" t="str">
            <v>208127, Paramo Rural V</v>
          </cell>
        </row>
        <row r="1160">
          <cell r="N1160" t="str">
            <v>208128, Torca II</v>
          </cell>
        </row>
        <row r="1161">
          <cell r="N1161" t="str">
            <v>208203, La Estrellita</v>
          </cell>
        </row>
        <row r="1162">
          <cell r="N1162" t="str">
            <v>209104, San Juan Urbano</v>
          </cell>
        </row>
        <row r="1163">
          <cell r="N1163" t="str">
            <v>209106, La Union Urbano</v>
          </cell>
        </row>
      </sheetData>
      <sheetData sheetId="35"/>
      <sheetData sheetId="36"/>
      <sheetData sheetId="37">
        <row r="12">
          <cell r="B12" t="str">
            <v>Plana de 0 a menos del 7%</v>
          </cell>
        </row>
        <row r="13">
          <cell r="B13" t="str">
            <v>Inclinada de 7 a menos del 14%</v>
          </cell>
        </row>
        <row r="14">
          <cell r="B14" t="str">
            <v>Empinada de 14% ó más</v>
          </cell>
        </row>
        <row r="16">
          <cell r="H16" t="str">
            <v>Desarrollo</v>
          </cell>
        </row>
        <row r="17">
          <cell r="H17" t="str">
            <v>Consolidación</v>
          </cell>
        </row>
        <row r="18">
          <cell r="H18" t="str">
            <v>Renovacion Urbana</v>
          </cell>
        </row>
        <row r="19">
          <cell r="H19" t="str">
            <v>Conservación</v>
          </cell>
        </row>
        <row r="20">
          <cell r="H20" t="str">
            <v>Mejoramiento Integral</v>
          </cell>
        </row>
        <row r="21">
          <cell r="H21" t="str">
            <v>Suelo de Protección</v>
          </cell>
        </row>
        <row r="22">
          <cell r="H22" t="str">
            <v>Sistema de Áreas Protegidas del Distrito Capital</v>
          </cell>
        </row>
        <row r="23">
          <cell r="H23" t="str">
            <v>Parques Urbanos</v>
          </cell>
        </row>
        <row r="24">
          <cell r="H24" t="str">
            <v>Corredores Ecológicos</v>
          </cell>
        </row>
        <row r="25">
          <cell r="H25" t="str">
            <v>Area de Manejo Especial del Río Bogotá</v>
          </cell>
        </row>
        <row r="29">
          <cell r="H29" t="str">
            <v>Residencial</v>
          </cell>
        </row>
        <row r="30">
          <cell r="H30" t="str">
            <v>Dotacional</v>
          </cell>
        </row>
        <row r="31">
          <cell r="H31" t="str">
            <v>Comercio y Servicios</v>
          </cell>
        </row>
        <row r="32">
          <cell r="H32" t="str">
            <v>Central</v>
          </cell>
        </row>
        <row r="33">
          <cell r="H33" t="str">
            <v>Urbana Integral</v>
          </cell>
        </row>
        <row r="34">
          <cell r="H34" t="str">
            <v>Industrial</v>
          </cell>
        </row>
        <row r="35">
          <cell r="H35" t="str">
            <v>Minera</v>
          </cell>
        </row>
        <row r="36">
          <cell r="H36" t="str">
            <v>Suelo de Protección</v>
          </cell>
        </row>
      </sheetData>
      <sheetData sheetId="38"/>
      <sheetData sheetId="39"/>
      <sheetData sheetId="40"/>
      <sheetData sheetId="4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VSR 1 (Dcto 0140_2000)"/>
      <sheetName val="CVSR 1 (Ac 021_03 - Ac 003_06)"/>
      <sheetName val="Muestra_Decreto50"/>
      <sheetName val="Acuerdo2_97"/>
      <sheetName val="25286000000040040_Ok"/>
      <sheetName val="25286000000040042_Ok"/>
      <sheetName val="25286000000040047"/>
      <sheetName val="25286000000040449"/>
      <sheetName val="25286000000050017"/>
      <sheetName val="25286000000070032"/>
      <sheetName val="25286000000070043_Ok"/>
      <sheetName val="25286000000070044"/>
      <sheetName val="25286000000070500"/>
      <sheetName val="25286000000070503"/>
      <sheetName val="25286000000070507"/>
      <sheetName val="25286000000070514_Ok"/>
      <sheetName val="252860000000700171-48ResAnt_Ok"/>
      <sheetName val="252860000000700171-486_ok"/>
      <sheetName val="252860000000700171-486_ANTES"/>
      <sheetName val="252860000000700171-486"/>
      <sheetName val="RESUMEN"/>
      <sheetName val="CONCEPTOS"/>
      <sheetName val="Resolucion_121"/>
      <sheetName val="Predios"/>
      <sheetName val="Hoja2"/>
      <sheetName val="Norma_resol"/>
      <sheetName val="Norma_despues"/>
      <sheetName val="ZHF"/>
      <sheetName val="Hoja3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ADRILLA"/>
      <sheetName val="APU"/>
      <sheetName val="INSUMOS"/>
      <sheetName val="Hoja3"/>
      <sheetName val="PRESUPUESTO"/>
      <sheetName val="Hoja2"/>
    </sheetNames>
    <sheetDataSet>
      <sheetData sheetId="0"/>
      <sheetData sheetId="1"/>
      <sheetData sheetId="2">
        <row r="1">
          <cell r="A1" t="str">
            <v>ABRAZADERA DE SALIDA TIPO 1</v>
          </cell>
        </row>
        <row r="2">
          <cell r="A2" t="str">
            <v xml:space="preserve">ABRAZADERA DE SALIDA TIPO 2 </v>
          </cell>
        </row>
        <row r="3">
          <cell r="A3" t="str">
            <v>ABRAZADERA DE SALIDA TIPO 3</v>
          </cell>
        </row>
        <row r="4">
          <cell r="A4" t="str">
            <v>ABRAZADERA DE SALIDA TIPO 4</v>
          </cell>
        </row>
        <row r="5">
          <cell r="A5" t="str">
            <v xml:space="preserve">ABRAZADERA EN  U </v>
          </cell>
        </row>
        <row r="6">
          <cell r="A6" t="str">
            <v xml:space="preserve">ABRAZADERA O COLLARIN  DE  10 - 12 DOS SALIDAS - pl. 1/4 Idem </v>
          </cell>
        </row>
        <row r="7">
          <cell r="A7" t="str">
            <v xml:space="preserve">ABRAZADERA O COLLARIN  LISO DE  6 - 8 pl. 1/4 BAJO SILICIO Tipo-3  </v>
          </cell>
        </row>
        <row r="8">
          <cell r="A8" t="str">
            <v>ABRAZADERA O COLLARIN DE  7 - 8 UNA SALIDA - pl. 1/4 Idem Tipo 3</v>
          </cell>
        </row>
        <row r="9">
          <cell r="A9" t="str">
            <v xml:space="preserve">ABRAZADERA O COLLARIN DE 4 - 6 UNA SALIDA - pl. 1/4 Idem Tipo 2 </v>
          </cell>
        </row>
        <row r="10">
          <cell r="A10" t="str">
            <v xml:space="preserve">ABRAZADERA O COLLARIN DE 6 - 8 DOS SALIDAS - pl. 1/4 Idem Tipo 3 </v>
          </cell>
        </row>
        <row r="11">
          <cell r="A11" t="str">
            <v xml:space="preserve">ABRAZADERA O COLLARIN DE 9- 10 UNA SALIDA- pl. 1/4 Idem Tipo 4 </v>
          </cell>
        </row>
        <row r="12">
          <cell r="A12" t="str">
            <v xml:space="preserve">ABRAZADERA O COLLARIN LISO DE 4 - 5 pl. 1/4 BAJO SILICIO Tipo-2 </v>
          </cell>
        </row>
        <row r="13">
          <cell r="A13" t="str">
            <v xml:space="preserve">ABRAZADERA O COLLARIN LISO DE 9 - 10 pl. 1/4 BAJO SILICIO Tipo-4 </v>
          </cell>
        </row>
        <row r="14">
          <cell r="A14" t="str">
            <v xml:space="preserve">ABRAZADERA O COLLARIN PARA TRANSFORMADOR DE 7 - 8 pl. 2 -BAJO SILICIO T-2 </v>
          </cell>
        </row>
        <row r="15">
          <cell r="A15" t="str">
            <v xml:space="preserve">ABRAZADERA O COLLARIN PARA TRANSFORMADOR DE 9 - 10 pl. 2 BAJO SILICIO T-3 </v>
          </cell>
        </row>
        <row r="16">
          <cell r="A16" t="str">
            <v xml:space="preserve">ACCESORIOS </v>
          </cell>
        </row>
        <row r="17">
          <cell r="A17" t="str">
            <v>ACCESORIOS DE FIJACION</v>
          </cell>
        </row>
        <row r="18">
          <cell r="A18" t="str">
            <v>ADAPTADOR DE TIERRA -ATERRIZAJE PARA CABLE Nº 1 AWG SA1</v>
          </cell>
        </row>
        <row r="19">
          <cell r="A19" t="str">
            <v>ADAPTADOR DE TIERRA -ATERRIZAJE PARA CABLE Nº 2 AWG SA2</v>
          </cell>
        </row>
        <row r="20">
          <cell r="A20" t="str">
            <v>ADAPTADOR PARA CABLE 600A - 2 AWG 15KV</v>
          </cell>
        </row>
        <row r="21">
          <cell r="A21" t="str">
            <v>ADAPTADOR PARA CABLE 600A - 2/0 AWG 15KV</v>
          </cell>
        </row>
        <row r="22">
          <cell r="A22" t="str">
            <v>ADAPTADOR PARA CABLE 600A - 4/0 AWG 15KV</v>
          </cell>
        </row>
        <row r="23">
          <cell r="A23" t="str">
            <v>ADAPTADOR TERMINAL PVC 1 1/2"</v>
          </cell>
        </row>
        <row r="24">
          <cell r="A24" t="str">
            <v>ADAPTADOR TERMINAL PVC 1 1/4"</v>
          </cell>
        </row>
        <row r="25">
          <cell r="A25" t="str">
            <v>ADAPTADOR TERMINAL PVC 1"</v>
          </cell>
        </row>
        <row r="26">
          <cell r="A26" t="str">
            <v>ADAPTADOR TERMINAL PVC 1/2"</v>
          </cell>
        </row>
        <row r="27">
          <cell r="A27" t="str">
            <v>ADAPTADOR TERMINAL PVC 2"</v>
          </cell>
        </row>
        <row r="28">
          <cell r="A28" t="str">
            <v>ADAPTADOR TERMINAL PVC 3"</v>
          </cell>
        </row>
        <row r="29">
          <cell r="A29" t="str">
            <v>ADAPTADOR TERMINAL PVC 3/4"</v>
          </cell>
        </row>
        <row r="30">
          <cell r="A30" t="str">
            <v>ADICIONALES</v>
          </cell>
        </row>
        <row r="31">
          <cell r="A31" t="str">
            <v>AISLADOR DE PIN ANSI 55-5 EN MATERIAL POLIMERICO</v>
          </cell>
        </row>
        <row r="32">
          <cell r="A32" t="str">
            <v>AISLADOR DE SUSPENSION ANSI 52-1, EN MATERIAL POLIMERICO</v>
          </cell>
        </row>
        <row r="33">
          <cell r="A33" t="str">
            <v>AISLADOR LINE POST 15 kV ANSI 57-1</v>
          </cell>
        </row>
        <row r="34">
          <cell r="A34" t="str">
            <v>AISLADOR POLIMERICO SUSPENSION ANSI 52-4</v>
          </cell>
        </row>
        <row r="35">
          <cell r="A35" t="str">
            <v>AISLADOR PORCELANA SUSPENSION ANSI 52-1</v>
          </cell>
        </row>
        <row r="36">
          <cell r="A36" t="str">
            <v>AISLADOR PORCELANA SUSPENSION ANSI 52-3</v>
          </cell>
        </row>
        <row r="37">
          <cell r="A37" t="str">
            <v>AISLADOR PORCELANA SUSPENSION ANSI 52-4</v>
          </cell>
        </row>
        <row r="38">
          <cell r="A38" t="str">
            <v>AISLADOR PORCELANA TIPO CARRETE ANSI 53-2</v>
          </cell>
        </row>
        <row r="39">
          <cell r="A39" t="str">
            <v>AISLADOR PORCELANA TIPO CARRETE ANSI 53-3</v>
          </cell>
        </row>
        <row r="40">
          <cell r="A40" t="str">
            <v>AISLADOR PORCELANA TIPO PIN O PARA ESPIGO DE 13,2 KV  ANSI 55-4</v>
          </cell>
        </row>
        <row r="41">
          <cell r="A41" t="str">
            <v>AISLADOR PORCELANA TIPO PIN O PARA ESPIGO DE 15 KV  ANSI 55-5</v>
          </cell>
        </row>
        <row r="42">
          <cell r="A42" t="str">
            <v>AISLADOR PORCELANA TIPO TENSOR ANSI 54-1</v>
          </cell>
        </row>
        <row r="43">
          <cell r="A43" t="str">
            <v>AISLADOR PORCELANA TIPO TENSOR ANSI 54-2</v>
          </cell>
        </row>
        <row r="44">
          <cell r="A44" t="str">
            <v>AISLADOR PORCELANA TIPO TENSOR ANSI 54-3</v>
          </cell>
        </row>
        <row r="45">
          <cell r="A45" t="str">
            <v>AISLADOR PORCELANA TIPO TENSOR ANSI 54-4</v>
          </cell>
        </row>
        <row r="46">
          <cell r="A46" t="str">
            <v xml:space="preserve">AISLADOR SUSPENSION SINTETICO-POLIMERICO 15kV </v>
          </cell>
        </row>
        <row r="47">
          <cell r="A47" t="str">
            <v xml:space="preserve">ALAMBRE COBRE DESNUDO Nº 10 AWG  </v>
          </cell>
        </row>
        <row r="48">
          <cell r="A48" t="str">
            <v>ALAMBRE COBRE DESNUDO Nº 12 AWG</v>
          </cell>
        </row>
        <row r="49">
          <cell r="A49" t="str">
            <v>ALAMBRE COBRE DESNUDO Nº 14 AWG</v>
          </cell>
        </row>
        <row r="50">
          <cell r="A50" t="str">
            <v>ALAMBRE COBRE DESNUDO Nº 8 AWG</v>
          </cell>
        </row>
        <row r="51">
          <cell r="A51" t="str">
            <v>ALAMBRE COBRE Nº 10 THHN  AWG</v>
          </cell>
        </row>
        <row r="52">
          <cell r="A52" t="str">
            <v>ALAMBRE COBRE Nº 12 THHN  AWG</v>
          </cell>
        </row>
        <row r="53">
          <cell r="A53" t="str">
            <v>ALAMBRE COBRE Nº 6 THHN  AWG</v>
          </cell>
        </row>
        <row r="54">
          <cell r="A54" t="str">
            <v>ALAMBRE COBRE Nº 8 THHN  AWG</v>
          </cell>
        </row>
        <row r="55">
          <cell r="A55" t="str">
            <v>AMARRE PLÁSTICO PARA CABLE TRENZADO</v>
          </cell>
        </row>
        <row r="56">
          <cell r="A56" t="str">
            <v>AMARRE PREFORMADO</v>
          </cell>
        </row>
        <row r="57">
          <cell r="A57" t="str">
            <v xml:space="preserve">AMORTIGUADOR PARA VIBRACION Nº  2 </v>
          </cell>
        </row>
        <row r="58">
          <cell r="A58" t="str">
            <v>AMORTIGUADOR PARA VIBRACION Nº 1/0-2/0 1.8kg</v>
          </cell>
        </row>
        <row r="59">
          <cell r="A59" t="str">
            <v>ANALIZADOR O MONITOR DE RED PM820 DE SQUARE D, CIRCUTOR O SIMILAR CON SELLO UL</v>
          </cell>
        </row>
        <row r="60">
          <cell r="A60" t="str">
            <v xml:space="preserve">ARANDELA CUADRADA PLANA 2X2X1/2 . Pl 1/8 </v>
          </cell>
        </row>
        <row r="61">
          <cell r="A61" t="str">
            <v xml:space="preserve">ARANDELA CUADRADA PLANA DE 2X2X5/8. Pl. 1/8 </v>
          </cell>
        </row>
        <row r="62">
          <cell r="A62" t="str">
            <v>ARANDELA CUADRADA PLANA DE 4X4X5/8. Pl. 1/8</v>
          </cell>
        </row>
        <row r="63">
          <cell r="A63" t="str">
            <v xml:space="preserve">ARANDELA PRESION GUAZA 1/2 </v>
          </cell>
        </row>
        <row r="64">
          <cell r="A64" t="str">
            <v>ARANDELA PRESION GUAZA 5/8</v>
          </cell>
        </row>
        <row r="65">
          <cell r="A65" t="str">
            <v>ARANDELA REDONDA 1/2</v>
          </cell>
        </row>
        <row r="66">
          <cell r="A66" t="str">
            <v>ARANDELA REDONDA 5/8</v>
          </cell>
        </row>
        <row r="67">
          <cell r="A67" t="str">
            <v>Bala Dulux 2 x 26W LUMINARIA FLUORESCENTE COMPACTA AHORRADORA DE ENERGÍA, PARA INSTALAR EN CIELO-RASO FALSO.BOMBILLO DULUX 26W DOBLE TWIN.ARO BLANCO, REFLECTOR EN ALUMINIO BRILLADO.BALASTO ELECTRÓNICO.</v>
          </cell>
        </row>
        <row r="68">
          <cell r="A68" t="str">
            <v xml:space="preserve">BALA FC PROFESIONAL TURBO RASER , LUMINARIA FLUORESCENTE COMPACTA AHORRADORA DE ENERGIA PARA INSTALAR NE CIELO RASO FALSO,  INCLUYE DOS BOMBILLAS DE 26W  + BALASTO DE 2X26 </v>
          </cell>
        </row>
        <row r="69">
          <cell r="A69" t="str">
            <v>BALA PISO HIDROLED BACK LIGHT, CUERPO EN ACERO INOXIDABLE Y ARO EN ACERO INOX , SUMERGIBLE HASTA 4 METROS, 7 LEDS X 1 WATT, 24 VDC DE COLOR VERDE, IP68.</v>
          </cell>
        </row>
        <row r="70">
          <cell r="A70" t="str">
            <v>BANDA PLASTICA DE SEÑALIZACIÓN SEGÚN NORMA CS273</v>
          </cell>
        </row>
        <row r="71">
          <cell r="A71" t="str">
            <v xml:space="preserve">BARRAJE PREMOLDEADO PARA BAJA TENSION SUMERGIBLE 500A-4 PUESTOS </v>
          </cell>
        </row>
        <row r="72">
          <cell r="A72" t="str">
            <v xml:space="preserve">BARRAJE PREMOLDEADO PARA BAJA TENSION SUMERGIBLE 500A-6 PUESTOS </v>
          </cell>
        </row>
        <row r="73">
          <cell r="A73" t="str">
            <v>BASE RECEBO COMUN. Extendido y compactado con Benitin</v>
          </cell>
        </row>
        <row r="74">
          <cell r="A74" t="str">
            <v>BASE Y FOTOCELDA TIPO ESTERIOR PARA ALUMBRADO INSTALADA.</v>
          </cell>
        </row>
        <row r="75">
          <cell r="A75" t="str">
            <v>BAYONETA PARA ANGULO  DOBLE 2 1/2 X 2 1/2 X 1/4 X 1,50 m</v>
          </cell>
        </row>
        <row r="76">
          <cell r="A76" t="str">
            <v>BAYONETA PARA ANGULO 2-1/2 x 1/4 x 2,00 m</v>
          </cell>
        </row>
        <row r="77">
          <cell r="A77" t="str">
            <v xml:space="preserve">BAYONETA PARA RETENCION 2.1/2 x 1/4 x 1.50 m </v>
          </cell>
        </row>
        <row r="78">
          <cell r="A78" t="str">
            <v>BAYONETA PARA RETENCION 2-1/2 x 1/4 x 2,00 m</v>
          </cell>
        </row>
        <row r="79">
          <cell r="A79" t="str">
            <v>BAYONETA SENCILLA  2-1/2 x 1/4 x 1,50 m</v>
          </cell>
        </row>
        <row r="80">
          <cell r="A80" t="str">
            <v xml:space="preserve">BAYONETA SENCILLA  2-1/2 x 1/4 x 2,00 m </v>
          </cell>
        </row>
        <row r="81">
          <cell r="A81" t="str">
            <v>BOMBILLA 220 V SODIO</v>
          </cell>
        </row>
        <row r="82">
          <cell r="A82" t="str">
            <v>BOMBILLA LED 220 V</v>
          </cell>
        </row>
        <row r="83">
          <cell r="A83" t="str">
            <v>BOQUILLA-TERMINAL (Juego de Tuerca y Contratuerca) PARA TUBERIA IMC GALVANIZADA 3</v>
          </cell>
        </row>
        <row r="84">
          <cell r="A84" t="str">
            <v>BOQUILLA-TERMINAL (Juego de Tuerca y Contratuerca) PARA TUBERIA IMC GALVANIZADA 3/4</v>
          </cell>
        </row>
        <row r="85">
          <cell r="A85" t="str">
            <v>BOQUILLA-TERMINAL (Juego de Tuerca y Contratuerca) PARA TUBERIA IMC GALVANIZADA 4</v>
          </cell>
        </row>
        <row r="86">
          <cell r="A86" t="str">
            <v>BORNA DE PONCHAR ESTAÑO DE DOS HUECOS Nº 1/0</v>
          </cell>
        </row>
        <row r="87">
          <cell r="A87" t="str">
            <v>BORNA DE PONCHAR ESTAÑO DE DOS HUECOS Nº 2/0</v>
          </cell>
        </row>
        <row r="88">
          <cell r="A88" t="str">
            <v>BORNA DE PONCHAR ESTAÑO DE DOS HUECOS Nº 4/0</v>
          </cell>
        </row>
        <row r="89">
          <cell r="A89" t="str">
            <v>BORNA DE PONCHAR ESTAÑO DE UN HUECO Nº 1/0</v>
          </cell>
        </row>
        <row r="90">
          <cell r="A90" t="str">
            <v>BORNA DE PONCHAR ESTAÑO DE UN HUECO Nº 2</v>
          </cell>
        </row>
        <row r="91">
          <cell r="A91" t="str">
            <v>BORNA DE PONCHAR ESTAÑO DE UN HUECO Nº 2/0</v>
          </cell>
        </row>
        <row r="92">
          <cell r="A92" t="str">
            <v>BORNA DE PONCHAR ESTAÑO DE UN HUECO Nº 250</v>
          </cell>
        </row>
        <row r="93">
          <cell r="A93" t="str">
            <v>BORNA DE PONCHAR ESTAÑO DE UN HUECO Nº 3/0</v>
          </cell>
        </row>
        <row r="94">
          <cell r="A94" t="str">
            <v>BORNA DE PONCHAR ESTAÑO DE UN HUECO Nº 350</v>
          </cell>
        </row>
        <row r="95">
          <cell r="A95" t="str">
            <v>BORNA DE PONCHAR ESTAÑO DE UN HUECO Nº 4</v>
          </cell>
        </row>
        <row r="96">
          <cell r="A96" t="str">
            <v>BORNA DE PONCHAR ESTAÑO DE UN HUECO Nº 4/0</v>
          </cell>
        </row>
        <row r="97">
          <cell r="A97" t="str">
            <v>BORNA DE PONCHAR ESTAÑO DE UN HUECO Nº 500</v>
          </cell>
        </row>
        <row r="98">
          <cell r="A98" t="str">
            <v>BORNA DE PONCHAR ESTAÑO DE UN HUECO Nº 6</v>
          </cell>
        </row>
        <row r="99">
          <cell r="A99" t="str">
            <v>BORNA DE PONCHAR ESTAÑO DE UN HUECO Nº 750</v>
          </cell>
        </row>
        <row r="100">
          <cell r="A100" t="str">
            <v>BORNA DE PONCHAR ESTAÑO DE UN HUECO Nº 8</v>
          </cell>
        </row>
        <row r="101">
          <cell r="A101" t="str">
            <v xml:space="preserve">BRAZO PARA SOPORTE LUMINARIA HORIZONTAL 1 1/2 x 1,20 m CON COLLARIN 250-400W (CODENSA) </v>
          </cell>
        </row>
        <row r="102">
          <cell r="A102" t="str">
            <v xml:space="preserve">BRAZO PARA SOPORTE LUMINARIA HORIZONTAL 3/4 x 1,20 m 1 DOBLEZ  70-150 W </v>
          </cell>
        </row>
        <row r="103">
          <cell r="A103" t="str">
            <v xml:space="preserve">BRAZO PARA SOPORTE LUMINARIA HORIZONTAL 3/4 x 1,20 m CON COLLARIN (CODENSA) </v>
          </cell>
        </row>
        <row r="104">
          <cell r="A104" t="str">
            <v xml:space="preserve">CABLE COAXIAL RG-6 PARA SEÑAL DE TELEVISION APANTALLODO NIPPON.  </v>
          </cell>
        </row>
        <row r="105">
          <cell r="A105" t="str">
            <v>CABLE CUADRUPLEX AUTOSOPORTADOS 90ºC 600V  Nº  3X2/0+1X1/0 CONDUCTOR DE ALUMIIO AISLADO EN POLITILENO RETICULADO (XLP)</v>
          </cell>
        </row>
        <row r="106">
          <cell r="A106" t="str">
            <v>CABLE CUADRUPLEX AUTOSOPORTADOS 90ºC 600V  Nº  3X2+1X2 CONDUCTOR DE ALUMIIO AISLADO EN POLITILENO RETICULADO (XLP)</v>
          </cell>
        </row>
        <row r="107">
          <cell r="A107" t="str">
            <v>CABLE CUADRUPLEX AUTOSOPORTADOS 90ºC 600V  Nº  4X1/0 CONDUCTOR DE ALUMIIO AISLADO EN POLITILENO RETICULADO (XLP)</v>
          </cell>
        </row>
        <row r="108">
          <cell r="A108" t="str">
            <v>CABLE CUADRUPLEX AUTOSOPORTADOS 90ºC 600V  Nº  4X4/0 CONDUCTOR DE ALUMIIO AISLADO EN POLITILENO RETICULADO (XLP)</v>
          </cell>
        </row>
        <row r="109">
          <cell r="A109" t="str">
            <v>CABLE DE ALUMINIO AISLADO ACS Nº 1/0 THHN AWG</v>
          </cell>
        </row>
        <row r="110">
          <cell r="A110" t="str">
            <v>CABLE DE ALUMINIO AISLADO ACS Nº 2 THHN AWG</v>
          </cell>
        </row>
        <row r="111">
          <cell r="A111" t="str">
            <v>CABLE DE ALUMINIO AISLADO ACS Nº 2/0 THHN AWG</v>
          </cell>
        </row>
        <row r="112">
          <cell r="A112" t="str">
            <v>CABLE DE ALUMINIO AISLADO ACS Nº 4 THHN AWG</v>
          </cell>
        </row>
        <row r="113">
          <cell r="A113" t="str">
            <v>CABLE DE ALUMINIO AISLADO ACS Nº 4/0 THHN AWG</v>
          </cell>
        </row>
        <row r="114">
          <cell r="A114" t="str">
            <v>CABLE DE ALUMINIO AISLADO ACS Nº 6 THHN AWG</v>
          </cell>
        </row>
        <row r="115">
          <cell r="A115" t="str">
            <v>CABLE DE ALUMINIO DESNUDO CON ALAMA  ACERO GALVANIZADO ACSR Nº 2/0 AWG</v>
          </cell>
        </row>
        <row r="116">
          <cell r="A116" t="str">
            <v>CABLE DE ALUMINIO DESNUDO CON ALAMA  ACERO GALVANIZADO ACSR Nº 4 AWG</v>
          </cell>
        </row>
        <row r="117">
          <cell r="A117" t="str">
            <v>CABLE DE ALUMINIO DESNUDO CON ALMA  ACERO GALVANIZADO ACSR Nº 1/0 AWG</v>
          </cell>
        </row>
        <row r="118">
          <cell r="A118" t="str">
            <v>CABLE DE ALUMINIO DESNUDO CON ALMA  ACERO GALVANIZADO ACSR Nº 2 AWG</v>
          </cell>
        </row>
        <row r="119">
          <cell r="A119" t="str">
            <v>CABLE DE ALUMINIO DESNUDO CON ALMA  ACERO GALVANIZADO ACSR Nº 4/0 AWG</v>
          </cell>
        </row>
        <row r="120">
          <cell r="A120" t="str">
            <v>CABLE DE ALUMINIO SEMIAISLADO Nº 2  XLPE-TK AWG</v>
          </cell>
        </row>
        <row r="121">
          <cell r="A121" t="str">
            <v>CABLE DE COBRE AISLADO CON NEUTRO CONCÉNTRICO, 2X Nº14 AWG 600 V</v>
          </cell>
        </row>
        <row r="122">
          <cell r="A122" t="str">
            <v>CABLE DE COBRE ANTIFRAUDE CON NEUTRO CONCENTRICO 1x 8 + 1x 8 AWG (XLPE/PVC-SR)</v>
          </cell>
        </row>
        <row r="123">
          <cell r="A123" t="str">
            <v>CABLE DE COBRE ANTIFRAUDE CON NEUTRO CONCENTRICO 2 x 6 + 1 x 6 ,AWG (XLPE/XLPE) REDONDA</v>
          </cell>
        </row>
        <row r="124">
          <cell r="A124" t="str">
            <v>CABLE DE COBRE ANTIFRAUDE CON NEUTRO CONCENTRICO 2 x 8 + 1 x 8 AWG (PE/PE) REDONDA</v>
          </cell>
        </row>
        <row r="125">
          <cell r="A125" t="str">
            <v>CABLE DE COBRE ANTIFRAUDE CON NEUTRO CONCENTRICO 2 x 8 + 1 x 8 AWG (PE/PVC-SR) PLANO</v>
          </cell>
        </row>
        <row r="126">
          <cell r="A126" t="str">
            <v>CABLE DE COBRE ANTIFRAUDE CON NEUTRO CONCENTRICO 2X8 + 1X10 AWG (PVC/PVC) PLANO</v>
          </cell>
        </row>
        <row r="127">
          <cell r="A127" t="str">
            <v xml:space="preserve">CABLE DE COBRE ANTIFRAUDE CON NEUTRO CONCENTRICO 3 x 6 + 1 x 6 AWG (PE/PVC) </v>
          </cell>
        </row>
        <row r="128">
          <cell r="A128" t="str">
            <v xml:space="preserve">CABLE DE COBRE ANTIFRAUDE CON NEUTRO CONCENTRICO 3 x 8 + 1 x 8 AWG (PE/PVC) </v>
          </cell>
        </row>
        <row r="129">
          <cell r="A129" t="str">
            <v xml:space="preserve">CABLE DE COBRE ANTIFRAUDE CON NEUTRO CONCENTRICO 3X6 + 1X8 AWG (PE/PVC) </v>
          </cell>
        </row>
        <row r="130">
          <cell r="A130" t="str">
            <v xml:space="preserve">CABLE DE COBRE ANTIFRAUDE CON NEUTRO CONCENTRICO 3X8 + 1X10 AWG (PE/PVC) </v>
          </cell>
        </row>
        <row r="131">
          <cell r="A131" t="str">
            <v xml:space="preserve">CABLE DE COBRE ANTIFRAUDE POTENCIA 3X4 + 1X6 AWG (PE/PVC-SR) </v>
          </cell>
        </row>
        <row r="132">
          <cell r="A132" t="str">
            <v xml:space="preserve">CABLE DE COBRE ANTIFRAUDE POTENCIA 3X6+1X8 AWG (PE/PVC-SR) </v>
          </cell>
        </row>
        <row r="133">
          <cell r="A133" t="str">
            <v xml:space="preserve">CABLE DE COBRE ANTIFRAUDE POTENCIA 3X8+1X10 AWG (PE/PVC) </v>
          </cell>
        </row>
        <row r="134">
          <cell r="A134" t="str">
            <v xml:space="preserve">CABLE DE COBRE ANTIFRAUDE TREBOL 3X2 + 1X4 AWG (PVC/PE) </v>
          </cell>
        </row>
        <row r="135">
          <cell r="A135" t="str">
            <v>CABLE DE COBRE CENTELFLEX Nº 1/0 AWG THHN</v>
          </cell>
        </row>
        <row r="136">
          <cell r="A136" t="str">
            <v>CABLE DE COBRE CENTELFLEX Nº 10 AWG THHN</v>
          </cell>
        </row>
        <row r="137">
          <cell r="A137" t="str">
            <v>CABLE DE COBRE CENTELFLEX Nº 12 AWG THHN</v>
          </cell>
        </row>
        <row r="138">
          <cell r="A138" t="str">
            <v>CABLE DE COBRE CENTELFLEX Nº 2 AWG THHN</v>
          </cell>
        </row>
        <row r="139">
          <cell r="A139" t="str">
            <v>CABLE DE COBRE CENTELFLEX Nº 2/0 AWG THHN</v>
          </cell>
        </row>
        <row r="140">
          <cell r="A140" t="str">
            <v>CABLE DE COBRE CENTELFLEX Nº 250 KCMIL</v>
          </cell>
        </row>
        <row r="141">
          <cell r="A141" t="str">
            <v>CABLE DE COBRE CENTELFLEX Nº 3/0 AWG THHN</v>
          </cell>
        </row>
        <row r="142">
          <cell r="A142" t="str">
            <v>CABLE DE COBRE CENTELFLEX Nº 350 KCMIL</v>
          </cell>
        </row>
        <row r="143">
          <cell r="A143" t="str">
            <v>CABLE DE COBRE CENTELFLEX Nº 4 AWG THHN</v>
          </cell>
        </row>
        <row r="144">
          <cell r="A144" t="str">
            <v>CABLE DE COBRE CENTELFLEX Nº 4/0 AWG THHN</v>
          </cell>
        </row>
        <row r="145">
          <cell r="A145" t="str">
            <v>CABLE DE COBRE CENTELFLEX Nº 500 KCMIL</v>
          </cell>
        </row>
        <row r="146">
          <cell r="A146" t="str">
            <v>CABLE DE COBRE CENTELFLEX Nº 6 AWG THHN</v>
          </cell>
        </row>
        <row r="147">
          <cell r="A147" t="str">
            <v>CABLE DE COBRE CENTELFLEX Nº 8 AWG THHN</v>
          </cell>
        </row>
        <row r="148">
          <cell r="A148" t="str">
            <v>CABLE DE COBRE DESNUDO Nº 1/0  AWG</v>
          </cell>
        </row>
        <row r="149">
          <cell r="A149" t="str">
            <v>CABLE DE COBRE DESNUDO Nº 10 AWG</v>
          </cell>
        </row>
        <row r="150">
          <cell r="A150" t="str">
            <v>CABLE DE COBRE DESNUDO Nº 2  AWG</v>
          </cell>
        </row>
        <row r="151">
          <cell r="A151" t="str">
            <v>CABLE DE COBRE DESNUDO Nº 2/0  AWG</v>
          </cell>
        </row>
        <row r="152">
          <cell r="A152" t="str">
            <v xml:space="preserve">CABLE DE COBRE DESNUDO Nº 4 AWG </v>
          </cell>
        </row>
        <row r="153">
          <cell r="A153" t="str">
            <v xml:space="preserve">CABLE DE COBRE DESNUDO Nº 4/0 AWG </v>
          </cell>
        </row>
        <row r="154">
          <cell r="A154" t="str">
            <v xml:space="preserve">CABLE DE COBRE DESNUDO Nº 6 AWG  </v>
          </cell>
        </row>
        <row r="155">
          <cell r="A155" t="str">
            <v xml:space="preserve">CABLE DE COBRE DESNUDO Nº 8 AWG </v>
          </cell>
        </row>
        <row r="156">
          <cell r="A156" t="str">
            <v>CABLE DE COBRE ENCAUCHETADO 2 x 12 THHN</v>
          </cell>
        </row>
        <row r="157">
          <cell r="A157" t="str">
            <v>CABLE DE COBRE ENCAUCHETADO 2 x 14 THHN</v>
          </cell>
        </row>
        <row r="158">
          <cell r="A158" t="str">
            <v>CABLE DE COBRE ENCAUCHETADO 3 x 12 THHN</v>
          </cell>
        </row>
        <row r="159">
          <cell r="A159" t="str">
            <v>CABLE DE COBRE ENCAUCHETADO 3 x 14 THHN</v>
          </cell>
        </row>
        <row r="160">
          <cell r="A160" t="str">
            <v>CABLE DE COBRE ENCAUCHETADO 3 x 16 THHN</v>
          </cell>
        </row>
        <row r="161">
          <cell r="A161" t="str">
            <v>CABLE DE COBRE MONOPOLAR  XLPE MV-90 15kV 90ºC CON NIVEL DE AISLAMIENTO  DE 100% Nº2 AWG</v>
          </cell>
        </row>
        <row r="162">
          <cell r="A162" t="str">
            <v>CABLE DE COBRE MONOPOLAR  XLPE MV-90 15kV 90ºC CON NIVEL DE AISLAMIENTO  DE 133% Nº2/0 AWG</v>
          </cell>
        </row>
        <row r="163">
          <cell r="A163" t="str">
            <v>CABLE DE COBRE MONOPOLAR XLPE MV-90 15kV 90ºC CON NIVEL DE AISLAMIENTO  DE 100% Nº1/0 AWG</v>
          </cell>
        </row>
        <row r="164">
          <cell r="A164" t="str">
            <v>CABLE DE COBRE MONOPOLAR XLPE MV-90 15kV 90ºC CON NIVEL DE AISLAMIENTO  DE 100% Nº2/0 AWG</v>
          </cell>
        </row>
        <row r="165">
          <cell r="A165" t="str">
            <v>CABLE DE COBRE MONOPOLAR XLPE MV-90 15kV 90ºC CON NIVEL DE AISLAMIENTO  DE 100% Nº4/0 AWG</v>
          </cell>
        </row>
        <row r="166">
          <cell r="A166" t="str">
            <v>CABLE DE COBRE MONOPOLAR XLPE MV-90 15kV 90ºC CON NIVEL DE AISLAMIENTO  DE 133% Nº1/0 AWG</v>
          </cell>
        </row>
        <row r="167">
          <cell r="A167" t="str">
            <v>CABLE DE COBRE MONOPOLAR XLPE MV-90 15kV 90ºC CON NIVEL DE AISLAMIENTO  DE 133% Nº2 AWG</v>
          </cell>
        </row>
        <row r="168">
          <cell r="A168" t="str">
            <v>CABLE DE COBRE MONOPOLAR XLPE MV-90 15kV 90ºC CON NIVEL DE AISLAMIENTO  DE 133% Nº4/0 AWG</v>
          </cell>
        </row>
        <row r="169">
          <cell r="A169" t="str">
            <v>CABLE DE COBRE Nº 1/0 THHN  AWG</v>
          </cell>
        </row>
        <row r="170">
          <cell r="A170" t="str">
            <v xml:space="preserve">CABLE DE COBRE Nº 10 THHN AWG </v>
          </cell>
        </row>
        <row r="171">
          <cell r="A171" t="str">
            <v>CABLE DE COBRE Nº 12 THHN AWG</v>
          </cell>
        </row>
        <row r="172">
          <cell r="A172" t="str">
            <v>CABLE DE COBRE Nº 14 THHN AWG</v>
          </cell>
        </row>
        <row r="173">
          <cell r="A173" t="str">
            <v>CABLE DE COBRE Nº 2 THHN AWG</v>
          </cell>
        </row>
        <row r="174">
          <cell r="A174" t="str">
            <v>CABLE DE COBRE Nº 2/0 THHN  AWG</v>
          </cell>
        </row>
        <row r="175">
          <cell r="A175" t="str">
            <v>CABLE DE COBRE Nº 3/0 THHN  AWG</v>
          </cell>
        </row>
        <row r="176">
          <cell r="A176" t="str">
            <v>CABLE DE COBRE Nº 300 THHN MCM</v>
          </cell>
        </row>
        <row r="177">
          <cell r="A177" t="str">
            <v>CABLE DE COBRE Nº 350 THHN MCM</v>
          </cell>
        </row>
        <row r="178">
          <cell r="A178" t="str">
            <v xml:space="preserve">CABLE DE COBRE Nº 4 THHN AWG </v>
          </cell>
        </row>
        <row r="179">
          <cell r="A179" t="str">
            <v>CABLE DE COBRE Nº 4/0 THHN  AWG</v>
          </cell>
        </row>
        <row r="180">
          <cell r="A180" t="str">
            <v>CABLE DE COBRE Nº 500 THHN MCM</v>
          </cell>
        </row>
        <row r="181">
          <cell r="A181" t="str">
            <v xml:space="preserve">CABLE DE COBRE Nº 6 THHN AWG </v>
          </cell>
        </row>
        <row r="182">
          <cell r="A182" t="str">
            <v xml:space="preserve">CABLE DE COBRE Nº 8 THHN AWG </v>
          </cell>
        </row>
        <row r="183">
          <cell r="A183" t="str">
            <v>CABLE DE COBRE TRENZADO PARA DERIVACIONES 3X2+1X4 AWG</v>
          </cell>
        </row>
        <row r="184">
          <cell r="A184" t="str">
            <v>CABLE DE COBRE TRIPLEX  XLPE MV-90 15kV 90ºC CON NIVEL DE AISLAMIENTO  DE 100%  CON NEUTRO CONCENTRICO 33%  3 x 1/0 AWG</v>
          </cell>
        </row>
        <row r="185">
          <cell r="A185" t="str">
            <v>CABLE DE COBRE TRIPLEX  XLPE MV-90 15kV 90ºC CON NIVEL DE AISLAMIENTO  DE 100%  CON NEUTRO CONCENTRICO 33%  3 x 2 AWG</v>
          </cell>
        </row>
        <row r="186">
          <cell r="A186" t="str">
            <v>CABLE DE COBRE TRIPLEX  XLPE MV-90 15kV 90ºC CON NIVEL DE AISLAMIENTO  DE 100%  CON NEUTRO CONCENTRICO 33%  3 x 2/0 AWG</v>
          </cell>
        </row>
        <row r="187">
          <cell r="A187" t="str">
            <v>CABLE DE COBRE TRIPLEX  XLPE MV-90 15kV 90ºC CON NIVEL DE AISLAMIENTO  DE 100%  CON NEUTRO CONCENTRICO 33%  3 x 4/0 AWG</v>
          </cell>
        </row>
        <row r="188">
          <cell r="A188" t="str">
            <v>CABLE PARA SEÑALES SISTEMA CONTRA INDENDIO  2 PARES (2X22AWG) NPLF AISLAMIENTO EN PVC DE ACUERDO A LAS NORMAS IEC189, IEC708</v>
          </cell>
        </row>
        <row r="189">
          <cell r="A189" t="str">
            <v>CABLE SUPER GX DE 9,53 mm (3/8") GALVANIZADO O CABLE PARA RETENIDA DE 3/8 GALVANIZADO</v>
          </cell>
        </row>
        <row r="190">
          <cell r="A190" t="str">
            <v>CABLE TRIPLEX AUTOSOPORTADOS 90ºC 600V  Nº  2X1/0+1X2 CONDUCTOR DE ALUMINIO AISLADO EN POLITILENO RETICULADO (XLP)</v>
          </cell>
        </row>
        <row r="191">
          <cell r="A191" t="str">
            <v>CABLE TRIPLEX AUTOSOPORTADOS 90ºC 600V  Nº  2X2+1X4 CONDUCTOR DE ALUMINIO AISLADO EN POLITILENO RETICULADO (XLP)</v>
          </cell>
        </row>
        <row r="192">
          <cell r="A192" t="str">
            <v>CABLE TRIPLEX AUTOSOPORTADOS 90ºC 600V  Nº  3X1/0 CONDUCTOR DE ALUMINIO AISLADO EN POLITILENO RETICULADO (XLP)</v>
          </cell>
        </row>
        <row r="193">
          <cell r="A193" t="str">
            <v>CABLE TRIPLEX AUTOSOPORTADOS 90ºC 600V  Nº  3X2 CONDUCTOR DE ALUMINIO AISLADO EN POLITILENO RETICULADO (XLP)</v>
          </cell>
        </row>
        <row r="194">
          <cell r="A194" t="str">
            <v>CABLE TRIPLEX AUTOSOPORTADOS 90ºC 600V  Nº  3X2/0 CONDUCTOR DE ALUMINIO AISLADO EN POLITILENO RETICULADO (XLP)</v>
          </cell>
        </row>
        <row r="195">
          <cell r="A195" t="str">
            <v>CABLE TRIPLEX AUTOSOPORTADOS 90ºC 600V  Nº  3X4 CONDUCTOR DE ALUMINIO AISLADO EN POLITILENO RETICULADO (XLP)</v>
          </cell>
        </row>
        <row r="196">
          <cell r="A196" t="str">
            <v>CABLE TRIPLEX AUTOSOPORTADOS 90ºC 600V  Nº  3X4/0 CONDUCTOR DE ALUMINIO AISLADO EN POLITILENO RETICULADO (XLP)</v>
          </cell>
        </row>
        <row r="197">
          <cell r="A197" t="str">
            <v>CAJA CON TAPA CON CIERRE POR TORNILLO 1/4 DE VUELTA IP-55 IK-07, CON CUBIERTA OPACA. DIMENSIONES 105 x 105 x 105 mm</v>
          </cell>
        </row>
        <row r="198">
          <cell r="A198" t="str">
            <v>CAJA DE DERIVACION EN POLICARBONATO PARA 9 USUARIOS (especial para zonas de alta salinida)</v>
          </cell>
        </row>
        <row r="199">
          <cell r="A199" t="str">
            <v>CAJA DE MANIOBRA DE TRES VIAS SECCIONABLES. ENTRADA Y SALIDA 220 A. INCLUYE 9 BUJES INSERTOS DE 200 A. 9 BUJES TIPO POZO DE 200 A. 9 CODOS DE DESCONEXIÓN  15 Kv 200 A. 9 CODOS DE DESCONEXIÓN DE 600 A. 1 VÁLVULA DE RECIRCULACIÓN. 1 VÁLVULA DE DRENAJE. 1 VÁ</v>
          </cell>
        </row>
        <row r="200">
          <cell r="A200" t="str">
            <v>CAJA DE PASO 30 x 30 x 30  cm CON CHAPA PLASTICA LAMINA DE ACERO GALVANIZADA CON PINTURA EPOXICA CON PUERTA Y BISAGRA</v>
          </cell>
        </row>
        <row r="201">
          <cell r="A201" t="str">
            <v>CAJA FABRICADA EN ACERO LAMINADO EN FRIO IP-66, IK-10. DE 150 x 150 x 80 mm</v>
          </cell>
        </row>
        <row r="202">
          <cell r="A202" t="str">
            <v xml:space="preserve">CAJA METALICA GALVANIZADA (Ref: 5800) </v>
          </cell>
        </row>
        <row r="203">
          <cell r="A203" t="str">
            <v>CAJA METALICA GALVANIZADA OCTAGONAL</v>
          </cell>
        </row>
        <row r="204">
          <cell r="A204" t="str">
            <v>CAJA METALICA IP-66, IK-10, DIMENSIONES 15 x 30 x 12 cm</v>
          </cell>
        </row>
        <row r="205">
          <cell r="A205" t="str">
            <v xml:space="preserve">CAJA MONOFASICA PARA 12 CIRCUITOS 1F3H CON BARRAJE PARA 100A BARRA NEUTRO Y BARRA TIERRA </v>
          </cell>
        </row>
        <row r="206">
          <cell r="A206" t="str">
            <v xml:space="preserve">CAJA MONOFASICA PARA 2  CIRCUITOS 1F3H CON BARRAJE PARA 100A BARRA NEUTRO Y BARRA TIERRA </v>
          </cell>
        </row>
        <row r="207">
          <cell r="A207" t="str">
            <v xml:space="preserve">CAJA MONOFASICA PARA 3 CIRCUITOS 1F3H CON BARRAJE PARA 100A BARRA NEUTRO Y BARRA TIERRA </v>
          </cell>
        </row>
        <row r="208">
          <cell r="A208" t="str">
            <v xml:space="preserve">CAJA MONOFASICA PARA 4 CIRCUITOS 1F3H CON BARRAJE PARA 100A BARRA NEUTRO Y BARRA TIERRA </v>
          </cell>
        </row>
        <row r="209">
          <cell r="A209" t="str">
            <v xml:space="preserve">CAJA MONOFASICA PARA 6 CIRCUITOS 1F3H CON BARRA NEUTRO Y BARRA TIERRA </v>
          </cell>
        </row>
        <row r="210">
          <cell r="A210" t="str">
            <v xml:space="preserve">CAJA MONOFASICA PARA 9 CIRCUITOS 1F3H CON BARRAJE PARA 100A BARRA NEUTRO Y BARRA TIERRA </v>
          </cell>
        </row>
        <row r="211">
          <cell r="A211" t="str">
            <v>CAJA OCTOGONAL GALVANIZADA (CAJA EMP GALV.OCTAGONAL 4")</v>
          </cell>
        </row>
        <row r="212">
          <cell r="A212" t="str">
            <v>CAJA PLASTICA DE 105 x 105 x 50 mm CON TAPA Y CIERRE POR TORNILLO 1/4 DE VUELTA IP-55 IK-07, Y CUBIERTA OPACA.</v>
          </cell>
        </row>
        <row r="213">
          <cell r="A213" t="str">
            <v>CAJA PLASTICA DE  220 x 170 x 86 mm CON TAPA Y CIERRE POR TORNILLO 1/4 DE VUELTA IP-55 IK-07, Y CUBIERTA OPACA.</v>
          </cell>
        </row>
        <row r="214">
          <cell r="A214" t="str">
            <v>CAJA PLASTICA DE 108 x 140 x 86 mm CON TAPA Y CIERRE POR TORNILLO 1/4 DE VUELTA IP-55 IK-07, Y CUBIERTA OPACA.</v>
          </cell>
        </row>
        <row r="215">
          <cell r="A215" t="str">
            <v>CAJA PLASTICA DE 31 x 24 x 12,4 cm CON 24 ENTRADAS 18 de 32 mm y 6 de 40 mm DE DIAMETRO</v>
          </cell>
        </row>
        <row r="216">
          <cell r="A216" t="str">
            <v>CAJA PLEXO ATLANTIC EN ACERO LAMINADO EN FRIO IP-66, IK-10. DIMENSIONES 30 x 30 x 12 cm</v>
          </cell>
        </row>
        <row r="217">
          <cell r="A217" t="str">
            <v xml:space="preserve">CAJA TRIFÁSICA TIPO INTEMPERIE PARA ACOMETIDAS DE BT </v>
          </cell>
        </row>
        <row r="218">
          <cell r="A218" t="str">
            <v xml:space="preserve">CAPACETE ROSCADO EN ALUMINIO PARA TUBERIA IMC GALVANIZADA DE 1" </v>
          </cell>
        </row>
        <row r="219">
          <cell r="A219" t="str">
            <v xml:space="preserve">CAPACETE ROSCADO EN ALUMINIO PARA TUBERIA IMC GALVANIZADA DE 2" </v>
          </cell>
        </row>
        <row r="220">
          <cell r="A220" t="str">
            <v xml:space="preserve">CAPACETE ROSCADO EN ALUMINIO PARA TUBERIA IMC GALVANIZADA DE 3" </v>
          </cell>
        </row>
        <row r="221">
          <cell r="A221" t="str">
            <v>CAPUCHON PARA SELLAR PUNTA DE CABLE 2- 4/0 EN FRIO RED TRENZADA</v>
          </cell>
        </row>
        <row r="222">
          <cell r="A222" t="str">
            <v>CAPUCHON TERMOENCONGIBLE PARA SELLAR PUNTAS DE CABLES DE  6 A 3/0</v>
          </cell>
        </row>
        <row r="223">
          <cell r="A223" t="str">
            <v xml:space="preserve">CINTA DE ACERO INOXIDABLE 3/4" </v>
          </cell>
        </row>
        <row r="224">
          <cell r="A224" t="str">
            <v xml:space="preserve">CINTA DE ACERO INOXIDABLE 5/8" </v>
          </cell>
        </row>
        <row r="225">
          <cell r="A225" t="str">
            <v>CINTA EN ACERO INOXIDABLE 1/2"</v>
          </cell>
        </row>
        <row r="226">
          <cell r="A226" t="str">
            <v>CINTA EN ACERO INOXIDABLE 3/8"</v>
          </cell>
        </row>
        <row r="227">
          <cell r="A227" t="str">
            <v>CLAVIJA RECTA, 250V, 16A, 3P+T, IP 67, P17 Tempra</v>
          </cell>
        </row>
        <row r="228">
          <cell r="A228" t="str">
            <v>CLAVIJA RECTA, 250V, 32A, 3P+N+T, IP 67, P17 Tempra</v>
          </cell>
        </row>
        <row r="229">
          <cell r="A229" t="str">
            <v>CLAVIJA RECTA, 250V, 63A, 3P+N+T, IP 67, P17 Tempra</v>
          </cell>
        </row>
        <row r="230">
          <cell r="A230" t="str">
            <v>CONCRETO CICLOPEO 3,000 PSI</v>
          </cell>
        </row>
        <row r="231">
          <cell r="A231" t="str">
            <v>CONCRETO POBRE MEZCLADO 1:3:6</v>
          </cell>
        </row>
        <row r="232">
          <cell r="A232" t="str">
            <v>CONDULETA EN T 1/2" NPT</v>
          </cell>
        </row>
        <row r="233">
          <cell r="A233" t="str">
            <v>CONECTOR BIMETALICO CABLE VARILLA  REFERENCIA 226/ZV-CU</v>
          </cell>
        </row>
        <row r="234">
          <cell r="A234" t="str">
            <v>CONECTOR BIMETALICO TIPO PALA 2/0 AWG, 2HUECO 1/2"</v>
          </cell>
        </row>
        <row r="235">
          <cell r="A235" t="str">
            <v>CONECTOR DE COMPRESIÓN DE RANURAS PARALELAS, TIPO 1</v>
          </cell>
        </row>
        <row r="236">
          <cell r="A236" t="str">
            <v>CONECTOR DE TORNILLO CON CHAQUETA AISLANTE</v>
          </cell>
        </row>
        <row r="237">
          <cell r="A237" t="str">
            <v xml:space="preserve">CONECTOR TIPO CODO 200A - 1/0 AWG - 15 kV </v>
          </cell>
        </row>
        <row r="238">
          <cell r="A238" t="str">
            <v xml:space="preserve">CONECTOR TIPO CODO 200A - 2 AWG - 15 kV </v>
          </cell>
        </row>
        <row r="239">
          <cell r="A239" t="str">
            <v xml:space="preserve">CONECTOR TIPO CODO 200A - 4/0 AWG - 15 kV </v>
          </cell>
        </row>
        <row r="240">
          <cell r="A240" t="str">
            <v>CONECTOR TIPO COMPRESION 200A 1/0 AWG 15kV</v>
          </cell>
        </row>
        <row r="241">
          <cell r="A241" t="str">
            <v>CONECTOR TIPO COMPRESION 200A 2 AWG 15kV</v>
          </cell>
        </row>
        <row r="242">
          <cell r="A242" t="str">
            <v>CONECTOR TIPO COMPRESION 200A 2/0 AWG 15kV</v>
          </cell>
        </row>
        <row r="243">
          <cell r="A243" t="str">
            <v>CONECTOR TIPO COMPRESION 200A 4/0 AWG 15kV</v>
          </cell>
        </row>
        <row r="244">
          <cell r="A244" t="str">
            <v>CONECTOR TIPO COMPRESION 600A 2 AWG 15kV</v>
          </cell>
        </row>
        <row r="245">
          <cell r="A245" t="str">
            <v>CONECTOR TIPO COMPRESION 600A 2/0 AWG 15kV</v>
          </cell>
        </row>
        <row r="246">
          <cell r="A246" t="str">
            <v>CONECTOR TIPO COMPRESION 600A 4/0 AWG 15kV</v>
          </cell>
        </row>
        <row r="247">
          <cell r="A247" t="str">
            <v>CONECTOR TIPO CUÑA</v>
          </cell>
        </row>
        <row r="248">
          <cell r="A248" t="str">
            <v>CONECTOR TIPO TORNILLO PARA  VARILLA DE PUESTA A TIERRA EN COBRE</v>
          </cell>
        </row>
        <row r="249">
          <cell r="A249" t="str">
            <v xml:space="preserve">CONECTOR TRANSVERSAL DE PUESTA A TIERRA TIPO TGC PARA VARILLA COOPER WELD (Varilla 5/8 - Cable # 2 o # 4) </v>
          </cell>
        </row>
        <row r="250">
          <cell r="A250" t="str">
            <v xml:space="preserve">CONECTOR VARILLA-CABLE  ACERO GALVANIZADO REF 280 OBO </v>
          </cell>
        </row>
        <row r="251">
          <cell r="A251" t="str">
            <v>CONECTORES CABLE REFERENCIA OBO</v>
          </cell>
        </row>
        <row r="252">
          <cell r="A252" t="str">
            <v>CONFIGURACIÓN EQUIPO RECONECTADOR -INGENIERO ESPECIALISTA</v>
          </cell>
        </row>
        <row r="253">
          <cell r="A253" t="str">
            <v>CONTROL DE VELOCIDAD DE TRES VENTILADORES</v>
          </cell>
        </row>
        <row r="254">
          <cell r="A254" t="str">
            <v>CORTACIRCUITOS 15 kV-100 A</v>
          </cell>
        </row>
        <row r="255">
          <cell r="A255" t="str">
            <v>CRUCETA METÁLICA DE ÁNGULO GALVANIZADO DE  2 ½" x 3/16" x 2,0 m</v>
          </cell>
        </row>
        <row r="256">
          <cell r="A256" t="str">
            <v>CRUCETA METÁLICA DE ÁNGULO GALVANIZADO DE  2 ½" x 3/16" x 2,5 m</v>
          </cell>
        </row>
        <row r="257">
          <cell r="A257" t="str">
            <v>CRUCETA METALICA DE ANGULO GALVANIZADO DE 2 ½" x 1/4 "x  1,5 m</v>
          </cell>
        </row>
        <row r="258">
          <cell r="A258" t="str">
            <v>CRUCETA METALICA DE ANGULO GALVANIZADO DE 2 ½" x 1/4 "x  2,0 m</v>
          </cell>
        </row>
        <row r="259">
          <cell r="A259" t="str">
            <v>CRUCETA METALICA DE ANGULO GALVANIZADO DE 2 ½" x 1/4 "x  2,5 m</v>
          </cell>
        </row>
        <row r="260">
          <cell r="A260" t="str">
            <v>CRUCETA METALICA DE ANGULO GALVANIZADO DE 2 ½" x 3/16" x 1,5 m</v>
          </cell>
        </row>
        <row r="261">
          <cell r="A261" t="str">
            <v>CRUCETA METALICA DE ANGULO GALVANIZADO DE 3" x 1/4" x 2 m</v>
          </cell>
        </row>
        <row r="262">
          <cell r="A262" t="str">
            <v>CRUCETA METALICA DE ANGULO GALVANIZADO DE 3" x 1/4" x 2,4 m</v>
          </cell>
        </row>
        <row r="263">
          <cell r="A263" t="str">
            <v>CRUCETA METALICA DE ANGULO GALVANIZADO DE 3" x 1/4" x 3 m</v>
          </cell>
        </row>
        <row r="264">
          <cell r="A264" t="str">
            <v>CRUCETA METALICA DE ANGULO GALVANIZADO DE 3" x 1/4" x 6 m</v>
          </cell>
        </row>
        <row r="265">
          <cell r="A265" t="str">
            <v>CUADRILLA ELECTRICA EXTERNA</v>
          </cell>
        </row>
        <row r="266">
          <cell r="A266" t="str">
            <v>CUADRILLA ELECTRICA INTERNA</v>
          </cell>
        </row>
        <row r="267">
          <cell r="A267" t="str">
            <v>CURVA EMT  1 1/2" x 90°</v>
          </cell>
        </row>
        <row r="268">
          <cell r="A268" t="str">
            <v>CURVA EMT  1 1/4" x 90°</v>
          </cell>
        </row>
        <row r="269">
          <cell r="A269" t="str">
            <v>CURVA EMT  1/2” x 90º</v>
          </cell>
        </row>
        <row r="270">
          <cell r="A270" t="str">
            <v>CURVA EMT  1” x 90°</v>
          </cell>
        </row>
        <row r="271">
          <cell r="A271" t="str">
            <v>CURVA EMT  2" x 90°</v>
          </cell>
        </row>
        <row r="272">
          <cell r="A272" t="str">
            <v>CURVA EMT  3/4” x 90º</v>
          </cell>
        </row>
        <row r="273">
          <cell r="A273" t="str">
            <v>CURVA EMT  3” x 90°</v>
          </cell>
        </row>
        <row r="274">
          <cell r="A274" t="str">
            <v>CURVA IMC GALVANIZADO  1 1/2" x 90°</v>
          </cell>
        </row>
        <row r="275">
          <cell r="A275" t="str">
            <v>CURVA IMC GALVANIZADO  1 1/4" x 90°</v>
          </cell>
        </row>
        <row r="276">
          <cell r="A276" t="str">
            <v>CURVA IMC GALVANIZADO  1/2” x 90º</v>
          </cell>
        </row>
        <row r="277">
          <cell r="A277" t="str">
            <v>CURVA IMC GALVANIZADO  1” x 90°</v>
          </cell>
        </row>
        <row r="278">
          <cell r="A278" t="str">
            <v>CURVA IMC GALVANIZADO  2" x 90°</v>
          </cell>
        </row>
        <row r="279">
          <cell r="A279" t="str">
            <v>CURVA IMC GALVANIZADO  3/4” x 90º</v>
          </cell>
        </row>
        <row r="280">
          <cell r="A280" t="str">
            <v>CURVA IMC GALVANIZADO  3” x 90°</v>
          </cell>
        </row>
        <row r="281">
          <cell r="A281" t="str">
            <v>CURVA PVC  1 1/2" x 90°</v>
          </cell>
        </row>
        <row r="282">
          <cell r="A282" t="str">
            <v>CURVA PVC  1 1/4" x 90°</v>
          </cell>
        </row>
        <row r="283">
          <cell r="A283" t="str">
            <v>CURVA PVC  1/2” x 90º</v>
          </cell>
        </row>
        <row r="284">
          <cell r="A284" t="str">
            <v>CURVA PVC  1” x 90°</v>
          </cell>
        </row>
        <row r="285">
          <cell r="A285" t="str">
            <v>CURVA PVC  2" x 90°</v>
          </cell>
        </row>
        <row r="286">
          <cell r="A286" t="str">
            <v>CURVA PVC  3/4” x 90º</v>
          </cell>
        </row>
        <row r="287">
          <cell r="A287" t="str">
            <v>CURVA PVC  3” x 90°</v>
          </cell>
        </row>
        <row r="288">
          <cell r="A288" t="str">
            <v>CURVA PVC  4” x 90°</v>
          </cell>
        </row>
        <row r="289">
          <cell r="A289" t="str">
            <v>DESCARGADOR DE SOBRETENSION DE LINEA 10kV- 10kA- POLIMERICO, OXIDO DE ZINC</v>
          </cell>
        </row>
        <row r="290">
          <cell r="A290" t="str">
            <v>DESCARGADOR DE SOBRETENSION DE LINEA 12kV- 10kA- POLIMERICO, OXIDO DE ZINC</v>
          </cell>
        </row>
        <row r="291">
          <cell r="A291" t="str">
            <v>DIAGONAL CON DOBLEZ 1-1/2 x 3/16 CRUCETA MADERA 64 cm</v>
          </cell>
        </row>
        <row r="292">
          <cell r="A292" t="str">
            <v>DIAGONAL RECTA DE ÁNGULO DE HIERRO GALVANIZADO DE 38X38X5 mm (1 ½" X 1 ½" X 3/16")  110 cm</v>
          </cell>
        </row>
        <row r="293">
          <cell r="A293" t="str">
            <v>DIAGONAL RECTA DE ÁNGULO DE HIERRO GALVANIZADO DE 38X38X5 mm (1 ½" X 1 ½" X 3/16") 68 cm</v>
          </cell>
        </row>
        <row r="294">
          <cell r="A294" t="str">
            <v>DINTELES EN CONCRETO h=0.15m x 0.2m (2500 PSI Mezcla 1:3:3)</v>
          </cell>
        </row>
        <row r="295">
          <cell r="A295" t="str">
            <v>DISPOSITIVO DE FOTOCONTROL (FOTOCELDA)</v>
          </cell>
        </row>
        <row r="296">
          <cell r="A296" t="str">
            <v>ELECTRODO DE PUESTA A TIERRA DE ACERO GALVANIZADO Ø20 mm, referencia BATTERMANN 219/20</v>
          </cell>
        </row>
        <row r="297">
          <cell r="A297" t="str">
            <v>EMPALME TIPO RECTO O EN DERIVACIÓN</v>
          </cell>
        </row>
        <row r="298">
          <cell r="A298" t="str">
            <v>ESLABON DE ANGULAR</v>
          </cell>
        </row>
        <row r="299">
          <cell r="A299" t="str">
            <v>ESPARRAGO 5/8" x 10"</v>
          </cell>
        </row>
        <row r="300">
          <cell r="A300" t="str">
            <v>ESPARRAGO 5/8" x 12"</v>
          </cell>
        </row>
        <row r="301">
          <cell r="A301" t="str">
            <v>ESPARRAGO 5/8" x 14"</v>
          </cell>
        </row>
        <row r="302">
          <cell r="A302" t="str">
            <v>ESPARRAGO 5/8" x 16"</v>
          </cell>
        </row>
        <row r="303">
          <cell r="A303" t="str">
            <v>ESPARRAGO 5/8" x 18"</v>
          </cell>
        </row>
        <row r="304">
          <cell r="A304" t="str">
            <v>ESPARRAGO 5/8" x 20"</v>
          </cell>
        </row>
        <row r="305">
          <cell r="A305" t="str">
            <v>ESPARRAGO 5/8" x 22"</v>
          </cell>
        </row>
        <row r="306">
          <cell r="A306" t="str">
            <v>ESPARRAGO 5/8" x 24"</v>
          </cell>
        </row>
        <row r="307">
          <cell r="A307" t="str">
            <v>ESPARRAGO 5/8" x 4"</v>
          </cell>
        </row>
        <row r="308">
          <cell r="A308" t="str">
            <v>ESPARRAGO 5/8" x 6"</v>
          </cell>
        </row>
        <row r="309">
          <cell r="A309" t="str">
            <v>ESPARRAGO 5/8" x 8"</v>
          </cell>
        </row>
        <row r="310">
          <cell r="A310" t="str">
            <v>ESPIGO CRUCETA MADERA DE 5/8" x 10" PARA 13,2 kV</v>
          </cell>
        </row>
        <row r="311">
          <cell r="A311" t="str">
            <v>ESPIGO CRUCETA METALICA DE 5/8" x 8" PARA 13,2 kV</v>
          </cell>
        </row>
        <row r="312">
          <cell r="A312" t="str">
            <v>ESPIGO DE ACERO GALVANIZADO PARA CRUCETA METÁLICA</v>
          </cell>
        </row>
        <row r="313">
          <cell r="A313" t="str">
            <v>ESPIGO PARA AISLADOR DE 38 mm</v>
          </cell>
        </row>
        <row r="314">
          <cell r="A314" t="str">
            <v>ESTRIBO 2 AWG CON CONECTOR CUÑA 4/0 AWG</v>
          </cell>
        </row>
        <row r="315">
          <cell r="A315" t="str">
            <v>ESTRIBO DE MEDIA TENSION PARA CABLE COBRE 1/0 + conectores bimetálicos</v>
          </cell>
        </row>
        <row r="316">
          <cell r="A316" t="str">
            <v>EXCAVACION MANUAL</v>
          </cell>
        </row>
        <row r="317">
          <cell r="A317" t="str">
            <v>EXTRACTOR AXIAL DE AIRE TIPO INDUSTRIAL DE 8" CON REJILLAS Y PINTURA ELECTROESTATICA</v>
          </cell>
        </row>
        <row r="318">
          <cell r="A318" t="str">
            <v>FILTRO DE DRENAJE 0.5 x 0.5 CON RELLENO EN GRAVILLA DE RIO 3/4" - 1" (SIN EXCAVACIÓN)</v>
          </cell>
        </row>
        <row r="319">
          <cell r="A319" t="str">
            <v>GRAPA DE OPERAR EN CALIENTE</v>
          </cell>
        </row>
        <row r="320">
          <cell r="A320" t="str">
            <v>GRAPA DE RETENCION PARA CABLE DE GUARDA</v>
          </cell>
        </row>
        <row r="321">
          <cell r="A321" t="str">
            <v>GRAPA DE SUSPENSIÓN PARA CABLE TRENZADO DE B.T.</v>
          </cell>
        </row>
        <row r="322">
          <cell r="A322" t="str">
            <v>GRAPA PARA SUJETAR ACOMETIDA</v>
          </cell>
        </row>
        <row r="323">
          <cell r="A323" t="str">
            <v xml:space="preserve">GRAPA PRENSADORA DE 1 1/2 x 1/4 x 6  3 TORNILLOS </v>
          </cell>
        </row>
        <row r="324">
          <cell r="A324" t="str">
            <v xml:space="preserve">GRAPA PRENSADORA DE 1-1/2 x 3/8 x 6 3 TORNILLOS </v>
          </cell>
        </row>
        <row r="325">
          <cell r="A325" t="str">
            <v xml:space="preserve">GRAPA PRENSADORA DE TRES TORNILLOS </v>
          </cell>
        </row>
        <row r="326">
          <cell r="A326" t="str">
            <v>GRAPA RETENCION ACERO TIPO PISTOLA 4 - 336</v>
          </cell>
        </row>
        <row r="327">
          <cell r="A327" t="str">
            <v>GRAPA RETENCION ALUMINIO TIPO PISTOLA 6 - 2/0</v>
          </cell>
        </row>
        <row r="328">
          <cell r="A328" t="str">
            <v>GRAPA TERMINAL TIPO RECTO 3/0 – 266,8</v>
          </cell>
        </row>
        <row r="329">
          <cell r="A329" t="str">
            <v>GRAPA T-GRILLETE P TEMPLETE 1/2 LA-551</v>
          </cell>
        </row>
        <row r="330">
          <cell r="A330" t="str">
            <v>GRUA</v>
          </cell>
        </row>
        <row r="331">
          <cell r="A331" t="str">
            <v>GUARDACABO PARA RETENDIDAS</v>
          </cell>
        </row>
        <row r="332">
          <cell r="A332" t="str">
            <v>HEBILLA DE ACERO INOXIDABLE 1/2"</v>
          </cell>
        </row>
        <row r="333">
          <cell r="A333" t="str">
            <v>HEBILLA DE ACERO INOXIDABLE 3/4"</v>
          </cell>
        </row>
        <row r="334">
          <cell r="A334" t="str">
            <v>HEBILLA DE ACERO INOXIDABLE 3/8"</v>
          </cell>
        </row>
        <row r="335">
          <cell r="A335" t="str">
            <v>HEBILLA DE ACERO INOXIDABLE 5/8"</v>
          </cell>
        </row>
        <row r="336">
          <cell r="A336" t="str">
            <v>HERRAJE PARA TEMPLETE CUERDA DE GUITARRA</v>
          </cell>
        </row>
        <row r="337">
          <cell r="A337" t="str">
            <v xml:space="preserve">HERRAMIENTA MENOR </v>
          </cell>
        </row>
        <row r="338">
          <cell r="A338" t="str">
            <v>HILO FUSIBLE TIPO H 15 LUHFSER</v>
          </cell>
        </row>
        <row r="339">
          <cell r="A339" t="str">
            <v>HILO FUSIBLE TIPO K 15 LUHFSER</v>
          </cell>
        </row>
        <row r="340">
          <cell r="A340" t="str">
            <v>HILO FUSIBLE TIPO SR 15 LUHFSER</v>
          </cell>
        </row>
        <row r="341">
          <cell r="A341" t="str">
            <v>HILO FUSIBLE TIPO T 15 LUHFSER</v>
          </cell>
        </row>
        <row r="342">
          <cell r="A342" t="str">
            <v>HILO FUSIBLE TIPO VS 15 LUHFSER</v>
          </cell>
        </row>
        <row r="343">
          <cell r="A343" t="str">
            <v>INDICADOR DE FALLA AÉREO MONOFÁSICO 400A</v>
          </cell>
        </row>
        <row r="344">
          <cell r="A344" t="str">
            <v>INTERRUPTOR DOBLE</v>
          </cell>
        </row>
        <row r="345">
          <cell r="A345" t="str">
            <v xml:space="preserve">INTERRUPTOR DOBLE CONMUTABLE </v>
          </cell>
        </row>
        <row r="346">
          <cell r="A346" t="str">
            <v>INTERRUPTOR ENCHUFABLE DE 1  x  20A - 240V - 10kA</v>
          </cell>
        </row>
        <row r="347">
          <cell r="A347" t="str">
            <v>INTERRUPTOR ENCHUFABLE DE 1 x 100A - 240V - 10kA</v>
          </cell>
        </row>
        <row r="348">
          <cell r="A348" t="str">
            <v>INTERRUPTOR ENCHUFABLE DE 1 x 15A - 240V - 10kA</v>
          </cell>
        </row>
        <row r="349">
          <cell r="A349" t="str">
            <v>INTERRUPTOR ENCHUFABLE DE 1 x 30A - 240V - 10kA</v>
          </cell>
        </row>
        <row r="350">
          <cell r="A350" t="str">
            <v>INTERRUPTOR ENCHUFABLE DE 1 x 40A - 240V - 10kA</v>
          </cell>
        </row>
        <row r="351">
          <cell r="A351" t="str">
            <v>INTERRUPTOR ENCHUFABLE DE 1 x 50A - 240V - 10kA</v>
          </cell>
        </row>
        <row r="352">
          <cell r="A352" t="str">
            <v>INTERRUPTOR ENCHUFABLE DE 1 x 60A - 240V - 10kA</v>
          </cell>
        </row>
        <row r="353">
          <cell r="A353" t="str">
            <v>INTERRUPTOR ENCHUFABLE DE 1 x 70A - 240V - 10kA</v>
          </cell>
        </row>
        <row r="354">
          <cell r="A354" t="str">
            <v>INTERRUPTOR ENCHUFABLE DE 2 x 100A - 240V - 10kA</v>
          </cell>
        </row>
        <row r="355">
          <cell r="A355" t="str">
            <v>INTERRUPTOR ENCHUFABLE DE 2 x 20A - 240V - 10kA</v>
          </cell>
        </row>
        <row r="356">
          <cell r="A356" t="str">
            <v>INTERRUPTOR ENCHUFABLE DE 2 x 30A - 240V - 10kA</v>
          </cell>
        </row>
        <row r="357">
          <cell r="A357" t="str">
            <v>INTERRUPTOR ENCHUFABLE DE 2 x 40A - 240V - 10kA</v>
          </cell>
        </row>
        <row r="358">
          <cell r="A358" t="str">
            <v>INTERRUPTOR ENCHUFABLE DE 2 x 50A - 240V - 10kA</v>
          </cell>
        </row>
        <row r="359">
          <cell r="A359" t="str">
            <v>INTERRUPTOR ENCHUFABLE DE 2 x 60A - 240V - 10kA</v>
          </cell>
        </row>
        <row r="360">
          <cell r="A360" t="str">
            <v>INTERRUPTOR ENCHUFABLE DE 2 x 70A - 240V - 10kA</v>
          </cell>
        </row>
        <row r="361">
          <cell r="A361" t="str">
            <v>INTERRUPTOR ENCHUFABLE DE 2 x 80A - 240V - 10kA</v>
          </cell>
        </row>
        <row r="362">
          <cell r="A362" t="str">
            <v>INTERRUPTOR ENCHUFABLE DE 3 x 100A - 240V - 10kA</v>
          </cell>
        </row>
        <row r="363">
          <cell r="A363" t="str">
            <v>INTERRUPTOR ENCHUFABLE DE 3 x 20A - 240V - 10kA</v>
          </cell>
        </row>
        <row r="364">
          <cell r="A364" t="str">
            <v>INTERRUPTOR ENCHUFABLE DE 3 x 30A - 240V - 10kA</v>
          </cell>
        </row>
        <row r="365">
          <cell r="A365" t="str">
            <v>INTERRUPTOR ENCHUFABLE DE 3 x 40A - 240V - 10kA</v>
          </cell>
        </row>
        <row r="366">
          <cell r="A366" t="str">
            <v>INTERRUPTOR ENCHUFABLE DE 3 x 50A - 240V - 10kA</v>
          </cell>
        </row>
        <row r="367">
          <cell r="A367" t="str">
            <v>INTERRUPTOR ENCHUFABLE DE 3 x 60A - 240V - 10kA</v>
          </cell>
        </row>
        <row r="368">
          <cell r="A368" t="str">
            <v>INTERRUPTOR ENCHUFABLE DE 3 x 70A - 240V - 10kA</v>
          </cell>
        </row>
        <row r="369">
          <cell r="A369" t="str">
            <v>INTERRUPTOR INDUSTRIAL EN CAJA 3  x  100A, 50kA. CALIDAD LEGRAND, MERLIN GERIN, MITSUBISHI, SIEMENS, SQUAR D, o superior de marca reconocida y homologada por el CIDET</v>
          </cell>
        </row>
        <row r="370">
          <cell r="A370" t="str">
            <v>INTERRUPTOR INDUSTRIAL EN CAJA 3  x  125A, 50kA. CALIDAD LEGRAND, MERLIN GERIN, MITSUBISHI, SIEMENS, SQUAR D, o superior de marca reconocida y homologada por el CIDET</v>
          </cell>
        </row>
        <row r="371">
          <cell r="A371" t="str">
            <v>INTERRUPTOR INDUSTRIAL EN CAJA 3  x  150A, 50kA. CALIDAD LEGRAND, MERLIN GERIN, MITSUBISHI, SIEMENS, SQUAR D, o superior de marca reconocida y homologada por el CIDET</v>
          </cell>
        </row>
        <row r="372">
          <cell r="A372" t="str">
            <v>INTERRUPTOR INDUSTRIAL EN CAJA 3  x  175A, 50kA. CALIDAD LEGRAND, MERLIN GERIN, MITSUBISHI, SIEMENS, SQUAR D, o superior de marca reconocida y homologada por el CIDET</v>
          </cell>
        </row>
        <row r="373">
          <cell r="A373" t="str">
            <v>INTERRUPTOR INDUSTRIAL EN CAJA 3  x  30A, 25kA. CALIDAD LEGRAND, MERLIN GERIN, MITSUBISHI, SIEMENS, SQUAR D, o superior de marca reconocida y homologada por el CIDET</v>
          </cell>
        </row>
        <row r="374">
          <cell r="A374" t="str">
            <v>INTERRUPTOR INDUSTRIAL EN CAJA 3  x  40A, 25kA. CALIDAD LEGRAND, MERLIN GERIN, MITSUBISHI, SIEMENS, SQUAR D, o superior de marca reconocida y homologada por el CIDET</v>
          </cell>
        </row>
        <row r="375">
          <cell r="A375" t="str">
            <v>INTERRUPTOR INDUSTRIAL EN CAJA 3  x  50A, 25kA. CALIDAD LEGRAND, MERLIN GERIN, MITSUBISHI, SIEMENS, SQUAR D, o superior de marca reconocida y homologada por el CIDET</v>
          </cell>
        </row>
        <row r="376">
          <cell r="A376" t="str">
            <v>INTERRUPTOR INDUSTRIAL EN CAJA 3  x  60A, 25kA. CALIDAD LEGRAND, MERLIN GERIN, MITSUBISHI, SIEMENS, SQUAR D, o superior de marca reconocida y homologada por el CIDET</v>
          </cell>
        </row>
        <row r="377">
          <cell r="A377" t="str">
            <v>INTERRUPTOR INDUSTRIAL EN CAJA 3  x  75A, 50kA. CALIDAD LEGRAND, MERLIN GERIN, MITSUBISHI, SIEMENS, SQUAR D, o superior de marca reconocida y homologada por el CIDET</v>
          </cell>
        </row>
        <row r="378">
          <cell r="A378" t="str">
            <v>INTERRUPTOR INDUSTRIAL EN CAJA 3 x 1000A, 100kA. CALIDAD LEGRAND, MERLIN GERIN, MITSUBISHI, SIEMENS, SQUAR D, o superior de marca reconocida y homologada por el CIDET</v>
          </cell>
        </row>
        <row r="379">
          <cell r="A379" t="str">
            <v>INTERRUPTOR INDUSTRIAL EN CAJA 3 x 1200A, 100kA. CALIDAD LEGRAND, MERLIN GERIN, MITSUBISHI, SIEMENS, SQUAR D, o superior de marca reconocida y homologada por el CIDET</v>
          </cell>
        </row>
        <row r="380">
          <cell r="A380" t="str">
            <v>INTERRUPTOR INDUSTRIAL EN CAJA 3 x 15A, 25kA. CALIDAD LEGRAND, MERLIN GERIN, MITSUBISHI, SIEMENS, SQUAR D, o superior de marca reconocida y homologada por el CIDET</v>
          </cell>
        </row>
        <row r="381">
          <cell r="A381" t="str">
            <v>INTERRUPTOR INDUSTRIAL EN CAJA 3 x 200A, 50kA. CALIDAD LEGRAND, MERLIN GERIN, MITSUBISHI, SIEMENS, SQUAR D, o superior de marca reconocida y homologada por el CIDET</v>
          </cell>
        </row>
        <row r="382">
          <cell r="A382" t="str">
            <v>INTERRUPTOR INDUSTRIAL EN CAJA 3 x 20A, 25kA. CALIDAD LEGRAND, MERLIN GERIN, MITSUBISHI, SIEMENS, SQUAR D, o superior de marca reconocida y homologada por el CIDET</v>
          </cell>
        </row>
        <row r="383">
          <cell r="A383" t="str">
            <v>INTERRUPTOR INDUSTRIAL EN CAJA 3 x 225A, 50kA. CALIDAD LEGRAND, MERLIN GERIN, MITSUBISHI, SIEMENS, SQUAR D, o superior de marca reconocida y homologada por el CIDET</v>
          </cell>
        </row>
        <row r="384">
          <cell r="A384" t="str">
            <v>INTERRUPTOR INDUSTRIAL EN CAJA 3 x 250A, 50kA. CALIDAD LEGRAND, MERLIN GERIN, MITSUBISHI, SIEMENS, SQUAR D, o superior de marca reconocida y homologada por el CIDET</v>
          </cell>
        </row>
        <row r="385">
          <cell r="A385" t="str">
            <v>INTERRUPTOR INDUSTRIAL EN CAJA 3 x 300A, 50kA. CALIDAD LEGRAND, MERLIN GERIN, MITSUBISHI, SIEMENS, SQUAR D, o superior de marca reconocida y homologada por el CIDET</v>
          </cell>
        </row>
        <row r="386">
          <cell r="A386" t="str">
            <v>INTERRUPTOR INDUSTRIAL EN CAJA 3 x 350A, 50kA. CALIDAD LEGRAND, MERLIN GERIN, MITSUBISHI, SIEMENS, SQUAR D, o superior de marca reconocida y homologada por el CIDET</v>
          </cell>
        </row>
        <row r="387">
          <cell r="A387" t="str">
            <v>INTERRUPTOR INDUSTRIAL EN CAJA 3 x 400A, 50kA. CALIDAD LEGRAND, MERLIN GERIN, MITSUBISHI, SIEMENS, SQUAR D, o superior de marca reconocida y homologada por el CIDET</v>
          </cell>
        </row>
        <row r="388">
          <cell r="A388" t="str">
            <v>INTERRUPTOR INDUSTRIAL EN CAJA 3 x 500A, 100kA. CALIDAD LEGRAND, MERLIN GERIN, MITSUBISHI, SIEMENS, SQUAR D, o superior de marca reconocida y homologada por el CIDET</v>
          </cell>
        </row>
        <row r="389">
          <cell r="A389" t="str">
            <v>INTERRUPTOR INDUSTRIAL EN CAJA 3 x 600A, 100kA. CALIDAD LEGRAND, MERLIN GERIN, MITSUBISHI, SIEMENS, SQUAR D, o superior de marca reconocida y homologada por el CIDET</v>
          </cell>
        </row>
        <row r="390">
          <cell r="A390" t="str">
            <v>INTERRUPTOR INDUSTRIAL EN CAJA 3 x 700A, 100kA. CALIDAD LEGRAND, MERLIN GERIN, MITSUBISHI, SIEMENS, SQUAR D, o superior de marca reconocida y homologada por el CIDET</v>
          </cell>
        </row>
        <row r="391">
          <cell r="A391" t="str">
            <v>INTERRUPTOR INDUSTRIAL EN CAJA 3 x 800A, 100kA. CALIDAD LEGRAND, MERLIN GERIN, MITSUBISHI, SIEMENS, SQUAR D, o superior de marca reconocida y homologada por el CIDET</v>
          </cell>
        </row>
        <row r="392">
          <cell r="A392" t="str">
            <v>INTERRUPTOR INDUSTRIAL REGULABLE  160-250A  3 x 250A, 25kA. CALIDAD LEGRAND, MERLIN GERIN, MITSUBISHI, SIEMENS, SQUAR D, o superior de marca reconocida y homologada por el CIDET</v>
          </cell>
        </row>
        <row r="393">
          <cell r="A393" t="str">
            <v>INTERRUPTOR INDUSTRIAL REGULABLE  320-400A  3 x 400A, 25kA. CALIDAD LEGRAND, MERLIN GERIN, MITSUBISHI, SIEMENS, SQUAR D, o superior de marca reconocida y homologada por el CIDET</v>
          </cell>
        </row>
        <row r="394">
          <cell r="A394" t="str">
            <v>INTERRUPTOR INDUSTRIAL REGULABLE  44-63A  3 x 63A, 40kA. CALIDAD LEGRAND, MERLIN GERIN, MITSUBISHI, SIEMENS, SQUAR D, o superior de marca reconocida y homologada por el CIDET</v>
          </cell>
        </row>
        <row r="395">
          <cell r="A395" t="str">
            <v>INTERRUPTOR INDUSTRIAL REGULABLE  500-630A  3 x 630A, 170kA. CALIDAD LEGRAND, MERLIN GERIN, MITSUBISHI, SIEMENS, SQUAR D, o superior de marca reconocida y homologada por el CIDET</v>
          </cell>
        </row>
        <row r="396">
          <cell r="A396" t="str">
            <v>INTERRUPTOR INDUSTRIAL REGULABLE  70-100A 3 x 100A, 25kA. CALIDAD LEGRAND, MERLIN GERIN, MITSUBISHI, SIEMENS, SQUAR D, o superior de marca reconocida y homologada por el CIDET</v>
          </cell>
        </row>
        <row r="397">
          <cell r="A397" t="str">
            <v>INTERRUPTOR INDUSTRIAL REGULABLE  87-125A 3 x 125A, 25kA. CALIDAD LEGRAND, MERLIN GERIN, MITSUBISHI, SIEMENS, SQUAR D, o superior de marca reconocida y homologada por el CIDET</v>
          </cell>
        </row>
        <row r="398">
          <cell r="A398" t="str">
            <v>INTERRUPTOR INDUSTRIAL REGULABLE  28-40A 3 x 28A, 25kA. CALIDAD LEGRAND, MERLIN GERIN, MITSUBISHI, SIEMENS, SQUAR D, o superior de marca reconocida y homologada por el CIDET</v>
          </cell>
        </row>
        <row r="399">
          <cell r="A399" t="str">
            <v>INTERRUPTOR INDUSTRIAL REGULABLE 102-160 A  3 x 160A, 50kA. CALIDAD LEGRAND, MERLIN GERIN, MITSUBISHI, SIEMENS, SQUAR D, o superior de marca reconocida y homologada por el CIDET</v>
          </cell>
        </row>
        <row r="400">
          <cell r="A400" t="str">
            <v>INTERRUPTOR PARA RIEL DE 1 x 10A</v>
          </cell>
        </row>
        <row r="401">
          <cell r="A401" t="str">
            <v>INTERRUPTOR PARA RIEL DE 1 x 16A</v>
          </cell>
        </row>
        <row r="402">
          <cell r="A402" t="str">
            <v>INTERRUPTOR PARA RIEL DE 1 x 25A</v>
          </cell>
        </row>
        <row r="403">
          <cell r="A403" t="str">
            <v>INTERRUPTOR PARA RIEL DE 1 x 32A</v>
          </cell>
        </row>
        <row r="404">
          <cell r="A404" t="str">
            <v>INTERRUPTOR PARA RIEL DE 1 x 40A</v>
          </cell>
        </row>
        <row r="405">
          <cell r="A405" t="str">
            <v>INTERRUPTOR PARA RIEL DE 1 x 50A</v>
          </cell>
        </row>
        <row r="406">
          <cell r="A406" t="str">
            <v>INTERRUPTOR PARA RIEL DE 1 x 63A</v>
          </cell>
        </row>
        <row r="407">
          <cell r="A407" t="str">
            <v>INTERRUPTOR PARA RIEL DE 1 x 6A</v>
          </cell>
        </row>
        <row r="408">
          <cell r="A408" t="str">
            <v>INTERRUPTOR PARA RIEL DE 2 x 10A</v>
          </cell>
        </row>
        <row r="409">
          <cell r="A409" t="str">
            <v>INTERRUPTOR PARA RIEL DE 2 x 16A</v>
          </cell>
        </row>
        <row r="410">
          <cell r="A410" t="str">
            <v>INTERRUPTOR PARA RIEL DE 2 x 20A</v>
          </cell>
        </row>
        <row r="411">
          <cell r="A411" t="str">
            <v>INTERRUPTOR PARA RIEL DE 2 x 25A</v>
          </cell>
        </row>
        <row r="412">
          <cell r="A412" t="str">
            <v>INTERRUPTOR PARA RIEL DE 2 x 32A</v>
          </cell>
        </row>
        <row r="413">
          <cell r="A413" t="str">
            <v>INTERRUPTOR PARA RIEL DE 2 x 40A</v>
          </cell>
        </row>
        <row r="414">
          <cell r="A414" t="str">
            <v>INTERRUPTOR PARA RIEL DE 2 x 50A</v>
          </cell>
        </row>
        <row r="415">
          <cell r="A415" t="str">
            <v>INTERRUPTOR PARA RIEL DE 2 x 63A</v>
          </cell>
        </row>
        <row r="416">
          <cell r="A416" t="str">
            <v>INTERRUPTOR PARA RIEL DE 3 x 16A</v>
          </cell>
        </row>
        <row r="417">
          <cell r="A417" t="str">
            <v>INTERRUPTOR PARA RIEL DE 3 x 40A</v>
          </cell>
        </row>
        <row r="418">
          <cell r="A418" t="str">
            <v>INTERRUPTOR PARA RIEL DE 3 x 50A</v>
          </cell>
        </row>
        <row r="419">
          <cell r="A419" t="str">
            <v>INTERRUPTOR PARA RIEL DE 3 x 63A</v>
          </cell>
        </row>
        <row r="420">
          <cell r="A420" t="str">
            <v xml:space="preserve">INTERRUPTOR SENCILLO </v>
          </cell>
        </row>
        <row r="421">
          <cell r="A421" t="str">
            <v xml:space="preserve">INTERRUPTOR SENCILLO CONMUTABLE </v>
          </cell>
        </row>
        <row r="422">
          <cell r="A422" t="str">
            <v xml:space="preserve">INTERRUPTOR TRIPLE </v>
          </cell>
        </row>
        <row r="423">
          <cell r="A423" t="str">
            <v xml:space="preserve">INTERRUPTOR TRIPLE CONMUTABLE </v>
          </cell>
        </row>
        <row r="424">
          <cell r="A424" t="str">
            <v>LAMPARA HERMETICA FLUORESCENTE CON DIFUSOR EN POLICARBONATO, BALASTO ELECTRONICO 2X32W, TUBO DE 2X32 W, T8 COLOR 4000K ,IP65</v>
          </cell>
        </row>
        <row r="425">
          <cell r="A425" t="str">
            <v>LAMPARA HERMETICA FLUORESCENTE DE SOBREPONER CON DIFUSOR EN POLICARBONATO, BALASTO ELECTRONICO 2X32W, TUBO DE 2X32 W, T8 COLOR 4000K ,IP65</v>
          </cell>
        </row>
        <row r="426">
          <cell r="A426" t="str">
            <v>LUMINARIA HORIZONTAL CERRADA DE 70 W -BOMBILLA LED - 220 VOLTIOS - GARANTIA MINIMA 2 AÑOS - INCLUYE FOTOCELDA . BRAZO  - HERRAJES Y ACCESORIOS VARIOS.</v>
          </cell>
        </row>
        <row r="427">
          <cell r="A427" t="str">
            <v xml:space="preserve">LUMINARIA HORIZONTAL CERRADA DE 70 W REFERENCIA  LO-CLSL 05  7000lm </v>
          </cell>
        </row>
        <row r="428">
          <cell r="A428" t="str">
            <v>MACHON EN CONCRETO 2500 PSI DE 0.15m X 0.15m X 1.25</v>
          </cell>
        </row>
        <row r="429">
          <cell r="A429" t="str">
            <v>MANO DE OBRA BB</v>
          </cell>
        </row>
        <row r="430">
          <cell r="A430" t="str">
            <v>MARCO SENCILLO EN ANGULO EN ACERO A-37</v>
          </cell>
        </row>
        <row r="431">
          <cell r="A431" t="str">
            <v>MENSULA GALVANIZADA EN CALIENTE PARA  13.2 kV CON GRAPA DE SUSPENSION</v>
          </cell>
        </row>
        <row r="432">
          <cell r="A432" t="str">
            <v>MURO EN LADRILLO TOLETE COMUN EN 0.125 PARA PAÑETAR</v>
          </cell>
        </row>
        <row r="433">
          <cell r="A433" t="str">
            <v>PAÑETE LISO IMPERMEABILIZADO/MURO. (M;1:3) E=0.015</v>
          </cell>
        </row>
        <row r="434">
          <cell r="A434" t="str">
            <v>PERCHA TIPO PESADO DE 1 PUESTO</v>
          </cell>
        </row>
        <row r="435">
          <cell r="A435" t="str">
            <v>PERCHA TIPO PESADO DE 2 PUESTO</v>
          </cell>
        </row>
        <row r="436">
          <cell r="A436" t="str">
            <v>PERCHA TIPO PESADO DE 2 PUESTO C/AP</v>
          </cell>
        </row>
        <row r="437">
          <cell r="A437" t="str">
            <v>PERCHA TIPO PESADO DE 3 PUESTO</v>
          </cell>
        </row>
        <row r="438">
          <cell r="A438" t="str">
            <v>PERCHA TIPO PESADO DE 3 PUESTO C/AP</v>
          </cell>
        </row>
        <row r="439">
          <cell r="A439" t="str">
            <v>PERCHA TIPO PESADO DE 4 PUESTO</v>
          </cell>
        </row>
        <row r="440">
          <cell r="A440" t="str">
            <v>PERCHA TIPO PESADO DE 4 PUESTO C/AP</v>
          </cell>
        </row>
        <row r="441">
          <cell r="A441" t="str">
            <v>PERCHA TIPO PESADO DE 5 PUESTO</v>
          </cell>
        </row>
        <row r="442">
          <cell r="A442" t="str">
            <v>PERCHA TIPO PESADO DE 5 PUESTO C/AP</v>
          </cell>
        </row>
        <row r="443">
          <cell r="A443" t="str">
            <v>PERNO DE OJO 5/8" x 10"</v>
          </cell>
        </row>
        <row r="444">
          <cell r="A444" t="str">
            <v>PERNO DE OJO 5/8" x 12"</v>
          </cell>
        </row>
        <row r="445">
          <cell r="A445" t="str">
            <v>PERNO DE OJO 5/8" x 5"</v>
          </cell>
        </row>
        <row r="446">
          <cell r="A446" t="str">
            <v>PERNO DE OJO 5/8" x 8"</v>
          </cell>
        </row>
        <row r="447">
          <cell r="A447" t="str">
            <v>PERNO DE OJO CERRADO 5/8" x 10"</v>
          </cell>
        </row>
        <row r="448">
          <cell r="A448" t="str">
            <v>PERNO DE OJO CERRADO 5/8" x 12"</v>
          </cell>
        </row>
        <row r="449">
          <cell r="A449" t="str">
            <v>PERNO DE OJO CERRADO 5/8" x 16"</v>
          </cell>
        </row>
        <row r="450">
          <cell r="A450" t="str">
            <v>PERNO DE OJO CERRADO 5/8" x 20"</v>
          </cell>
        </row>
        <row r="451">
          <cell r="A451" t="str">
            <v>PERNO DE OJO CERRADO 5/8" x 24"</v>
          </cell>
        </row>
        <row r="452">
          <cell r="A452" t="str">
            <v>PERNO DE OJO CERRADO 5/8" x 6"</v>
          </cell>
        </row>
        <row r="453">
          <cell r="A453" t="str">
            <v>PERNO EN "U" DE 12 mm (1/2") PARA CABLE DE GUARDA</v>
          </cell>
        </row>
        <row r="454">
          <cell r="A454" t="str">
            <v>PERNO O TORNILLO DE CARRIAJE 1/2" x 1 ½” + TUERCA</v>
          </cell>
        </row>
        <row r="455">
          <cell r="A455" t="str">
            <v>PERNO O TORNILLO DE CARRIAJE 1/2" x 3” + TUERCA</v>
          </cell>
        </row>
        <row r="456">
          <cell r="A456" t="str">
            <v>PERNO O TORNILLO DE CARRIAJE 5/8" x 1 ½” + TUERCA</v>
          </cell>
        </row>
        <row r="457">
          <cell r="A457" t="str">
            <v>PERNO O TORNILLO DE CARRIAJE 5/8" x 2 ½” + TUERCA</v>
          </cell>
        </row>
        <row r="458">
          <cell r="A458" t="str">
            <v>PERNO O TORNILLO DE CARRIAJE 5/8" x 6” + TUERCA</v>
          </cell>
        </row>
        <row r="459">
          <cell r="A459" t="str">
            <v>PERNOS DE MAQUINA 1/2" x 1 ½”</v>
          </cell>
        </row>
        <row r="460">
          <cell r="A460" t="str">
            <v>PERNOS DE MAQUINA 1/2" x 2"</v>
          </cell>
        </row>
        <row r="461">
          <cell r="A461" t="str">
            <v>PERNOS DE MAQUINA 1/2" x 6"</v>
          </cell>
        </row>
        <row r="462">
          <cell r="A462" t="str">
            <v>PERNOS DE MAQUINA 5/8" x 1 ½”</v>
          </cell>
        </row>
        <row r="463">
          <cell r="A463" t="str">
            <v>PERNOS DE MAQUINA 5/8" x 10"</v>
          </cell>
        </row>
        <row r="464">
          <cell r="A464" t="str">
            <v>PERNOS DE MAQUINA 5/8" x 12"</v>
          </cell>
        </row>
        <row r="465">
          <cell r="A465" t="str">
            <v>PERNOS DE MAQUINA 5/8" x 14"</v>
          </cell>
        </row>
        <row r="466">
          <cell r="A466" t="str">
            <v>PERNOS DE MAQUINA 5/8" x 16"</v>
          </cell>
        </row>
        <row r="467">
          <cell r="A467" t="str">
            <v>PERNOS DE MAQUINA 5/8" x 2"</v>
          </cell>
        </row>
        <row r="468">
          <cell r="A468" t="str">
            <v>PERNOS DE MAQUINA 5/8" x 20"</v>
          </cell>
        </row>
        <row r="469">
          <cell r="A469" t="str">
            <v>PERNOS DE MAQUINA 5/8" x 24"</v>
          </cell>
        </row>
        <row r="470">
          <cell r="A470" t="str">
            <v>PERNOS DE MAQUINA 5/8" x 6"</v>
          </cell>
        </row>
        <row r="471">
          <cell r="A471" t="str">
            <v>PERNOS DE MAQUINA 5/8" x 8"</v>
          </cell>
        </row>
        <row r="472">
          <cell r="A472" t="str">
            <v>PINTURA REFLECTIVA AMARILLA (pintura acrilica para trafico)</v>
          </cell>
        </row>
        <row r="473">
          <cell r="A473" t="str">
            <v>PINTURA REFLECTIVA NEGRA (pintura acrilica para trafico)</v>
          </cell>
        </row>
        <row r="474">
          <cell r="A474" t="str">
            <v xml:space="preserve">PLACA TOMA EXTERIOR GRIS (Tapa interperie para tomacorriente doble con proteccion individual plastica color gris que cumpla con la norma  UL) </v>
          </cell>
        </row>
        <row r="475">
          <cell r="A475" t="str">
            <v>PLATINA SOPORTE ESPIGO</v>
          </cell>
        </row>
        <row r="476">
          <cell r="A476" t="str">
            <v>PORTA AISLADOR CRUCETA METÁLICA</v>
          </cell>
        </row>
        <row r="477">
          <cell r="A477" t="str">
            <v>POSTE DE CONCRETO 10 METROS-1050kg-HOMOLOGADO</v>
          </cell>
        </row>
        <row r="478">
          <cell r="A478" t="str">
            <v>POSTE DE CONCRETO 10 METROS-510kg-HOMOLOGADO</v>
          </cell>
        </row>
        <row r="479">
          <cell r="A479" t="str">
            <v>POSTE DE CONCRETO 10 METROS-750kg-HOMOLOGADO</v>
          </cell>
        </row>
        <row r="480">
          <cell r="A480" t="str">
            <v>POSTE DE CONCRETO 12 METROS-1050kg-HOMOLOGADO</v>
          </cell>
        </row>
        <row r="481">
          <cell r="A481" t="str">
            <v>POSTE DE CONCRETO 12 METROS-510kg-HOMOLOGADO</v>
          </cell>
        </row>
        <row r="482">
          <cell r="A482" t="str">
            <v>POSTE DE CONCRETO 12 METROS-750kg-HOMOLOGADO</v>
          </cell>
        </row>
        <row r="483">
          <cell r="A483" t="str">
            <v>POSTE DE CONCRETO 8 METROS-1050kg-HOMOLOGADO</v>
          </cell>
        </row>
        <row r="484">
          <cell r="A484" t="str">
            <v>POSTE DE CONCRETO 8 METROS-510kg-HOMOLOGADO</v>
          </cell>
        </row>
        <row r="485">
          <cell r="A485" t="str">
            <v>POSTE DE CONCRETO 8 METROS-750kg-HOMOLOGADO</v>
          </cell>
        </row>
        <row r="486">
          <cell r="A486" t="str">
            <v>POSTE DE MADERA INMUNIZADA 12 METROS</v>
          </cell>
        </row>
        <row r="487">
          <cell r="A487" t="str">
            <v>POSTE DE MADERA INMUNIZADA 8 METROS</v>
          </cell>
        </row>
        <row r="488">
          <cell r="A488" t="str">
            <v>POSTE EN FIBRA DE VIDRIO 10 METROS -510kg</v>
          </cell>
        </row>
        <row r="489">
          <cell r="A489" t="str">
            <v>POSTE EN FIBRA DE VIDRIO 10 METROS-1050kg</v>
          </cell>
        </row>
        <row r="490">
          <cell r="A490" t="str">
            <v>POSTE EN FIBRA DE VIDRIO 10 METROS-750kg</v>
          </cell>
        </row>
        <row r="491">
          <cell r="A491" t="str">
            <v>POSTE EN FIBRA DE VIDRIO 12 METROS -1050kg</v>
          </cell>
        </row>
        <row r="492">
          <cell r="A492" t="str">
            <v>POSTE EN FIBRA DE VIDRIO 12 METROS -510kg</v>
          </cell>
        </row>
        <row r="493">
          <cell r="A493" t="str">
            <v>POSTE EN FIBRA DE VIDRIO 12 METROS -750kg</v>
          </cell>
        </row>
        <row r="494">
          <cell r="A494" t="str">
            <v>POSTE EN FIBRA DE VIDRIO 8 METROS  -510kg</v>
          </cell>
        </row>
        <row r="495">
          <cell r="A495" t="str">
            <v>POSTE EN FIBRA DE VIDRIO 8 METROS -750kg</v>
          </cell>
        </row>
        <row r="496">
          <cell r="A496" t="str">
            <v>PRENSA ESTOPA ALUMINIO 1/2" NPT</v>
          </cell>
        </row>
        <row r="497">
          <cell r="A497" t="str">
            <v>PROTECTORES DE VOLTAJE BREAKERMATIC REF PBE220-AM / 220-AT / 220-BM</v>
          </cell>
        </row>
        <row r="498">
          <cell r="A498" t="str">
            <v>RECONECTADOR 15 KV, 630 AMPERIOS, 12,5 kA, AISLAMIENTO EN POLIMERO EPOXICO  - INTERRUPCION EN  VACIO (CAMPO NETICO AXIAL) , CONTROL Y PROTECCION POR MICROPROCESADOR, DESCARGADORES DE SOBRETENSION EN BAJA, ESTRUCTURA PARA MONTAJE EN POSTE, INTERFAZ LOCAL C</v>
          </cell>
        </row>
        <row r="499">
          <cell r="A499" t="str">
            <v xml:space="preserve">REFLECTOR CUADRADO CERRADO ESTRIBO DE 250 W-SODIO ALTA PRESION  </v>
          </cell>
        </row>
        <row r="500">
          <cell r="A500" t="str">
            <v>REFLECTOR DE 250 W-SODIO ALTA PRESION -220 VOLTIOS-SODIO ALTA PRESION-CUADRADO-CERRADO - ESTRIBOS - COMPLETA ACCESORIOS DE FIJACION E INSTALACION  -REFERENCIA RCG ROY ALPHA; Incluye accesorios de sujeción</v>
          </cell>
        </row>
        <row r="501">
          <cell r="A501" t="str">
            <v>REGULADOR DE VOLTAJE</v>
          </cell>
        </row>
        <row r="502">
          <cell r="A502" t="str">
            <v>RELLENO ARENA DE PEÑA</v>
          </cell>
        </row>
        <row r="503">
          <cell r="A503" t="str">
            <v>RELLENO DE EXCAVACIÓN CON MATERIAL LOCAL SELECCIONADO</v>
          </cell>
        </row>
        <row r="504">
          <cell r="A504" t="str">
            <v xml:space="preserve">RETIRO DE ESCOMBROS </v>
          </cell>
        </row>
        <row r="505">
          <cell r="A505" t="str">
            <v>SALIDA FOTOCELDA 1000W; Prom 2m; Incluye Fotocelda</v>
          </cell>
        </row>
        <row r="506">
          <cell r="A506" t="str">
            <v xml:space="preserve">SALIDA TV INCLUYE TOMA COAXIAL CABLE RG 59 CON TERMINALES DE ROSCA, CONDUIT EMT 3/4". SPLITER 1 IN 2 OUT Prom 11m  </v>
          </cell>
        </row>
        <row r="507">
          <cell r="A507" t="str">
            <v xml:space="preserve">SECCIONADOR ENTRADA- SALIDA CON ENCLAVAMIENTO MECÁNICO DE MEDIA TENSIÓN 15 kV-630 A EN CELDA TIPO INTEMPERIE CONSTRUIDA EN LAMINA GALVANIZADA EN CALIENTE Y RESISTENCIA DE CALEFACCIÓN CONTROLADAS POR TERMÓSTATO (FUNCIONAMIENTO COMO TRANSFERENCIA MANUAL EN </v>
          </cell>
        </row>
        <row r="508">
          <cell r="A508" t="str">
            <v>SECCIONADOR MONOPOLAR 200 A – 15 kV</v>
          </cell>
        </row>
        <row r="509">
          <cell r="A509" t="str">
            <v>SECCIONADOR MONOPOLAR 400 A – 15 kV</v>
          </cell>
        </row>
        <row r="510">
          <cell r="A510" t="str">
            <v>SISTEMA DE ACONDICIONAMIENTO DE AIRE: 1 UND CONDENSADORA 1X12000BTU/HR-208V, 60HZ, 1500W MAX; CON 1 UNIDAD EVAPORADORAS DE 12000BTU/HR (ADOSADA A MURO). INCLUYE RED DE REFRIGERACION EN TUBERIA DE COBRE CON AISLAMIENTO TERMICO, TODOS LOS ELEMENTOS, INSUMOS</v>
          </cell>
        </row>
        <row r="511">
          <cell r="A511" t="str">
            <v>SISTEMA DE ACONDICIONAMIENTO DE AIRE: 1 UND CONDENSADORA 1X18000BTU/HR-208V, 60HZ, 1500W MAX; CON 1 UNIDAD EVAPORADORAS DE 18000BTU/HR (ADOSADA A MURO). INCLUYE RED DE REFRIGERACION EN TUBERIA DE COBRE CON AISLAMIENTO TERMICO, TODOS LOS ELEMENTOS, INSUMOS</v>
          </cell>
        </row>
        <row r="512">
          <cell r="A512" t="str">
            <v>SISTEMA DE ACONDICIONAMIENTO DE AIRE: 1 UND CONDENSADORA 1X9000BTU/HR-208V, 60HZ, 1500W MAX; CON 2 UNIDADES EVAPORADORAS DE 9000BTU/HR (ADOSADA A MURO). INCLUYE RED DE REFRIGERACION EN TUBERIA DE COBRE CON AISLAMIENTO TERMICO, TODOS LOS ELEMENTOS, INSUMOS</v>
          </cell>
        </row>
        <row r="513">
          <cell r="A513" t="str">
            <v>SISTEMA DE ILUMINACION SOLAR, INCLUYE 2 PANELES SOLARES FOTOVOLTAICOS, BATERIAS DE GEL CICLO DE DESCARGA PROFUNDA, 1 LUMINARIA TIPO LED Y ACCESORIOS VARIOS PARA PUESTA EN FUNCIONAMIENTO (HERRAJES Y CABLEADO)</v>
          </cell>
        </row>
        <row r="514">
          <cell r="A514" t="str">
            <v>SOLDADURA EXOTERMICA TIPO CADWELD  DE 115 GRAMOS</v>
          </cell>
        </row>
        <row r="515">
          <cell r="A515" t="str">
            <v>SOPORTE PARA LUMINARIA HORIZONTAL VÍAS SECUNDARIAS</v>
          </cell>
        </row>
        <row r="516">
          <cell r="A516" t="str">
            <v>SOPORTE SENCILLO PARA AVENIDAS POSTE DE CONCRETO ABRAZADERA TIPO 1 "140 mm"</v>
          </cell>
        </row>
        <row r="517">
          <cell r="A517" t="str">
            <v xml:space="preserve">SUBESTACION PEDESTAL RADIAL DE 112,5 kVA -60 Hz - 13.200 V / 208-120 V (con un Suiche on-off de dos posiciones,una Válvula de sobrepresión,tres Bujes insertos de 600A para terminales tipo T, tres Bujes tipo pozo, tres Fusibles de expulsión tipo bayoneta, </v>
          </cell>
        </row>
        <row r="518">
          <cell r="A518" t="str">
            <v>SUBESTACION PEDESTAL RADIAL DE 150kVA -60 Hz - 13.200 V / 208-120 V (con un Suiche on-off de dos posiciones,una Válvula de sobrepresión,tres Bujes insertos de 600A para terminales tipo T, tres Bujes tipo pozo, tres Fusibles de expulsión tipo bayoneta, tre</v>
          </cell>
        </row>
        <row r="519">
          <cell r="A519" t="str">
            <v>SUBESTACION PEDESTAL RADIAL DE 225kVA -60 Hz - 13.200 V / 208-120 V (con un Suiche on-off de dos posiciones,una Válvula de sobrepresión,tres Bujes insertos de 600A para terminales tipo T, tres Bujes tipo pozo, tres Fusibles de expulsión tipo bayoneta, tre</v>
          </cell>
        </row>
        <row r="520">
          <cell r="A520" t="str">
            <v>SUBESTACION PEDESTAL RADIAL DE 300kVA -60 Hz - 13.200 V / 208-120 V (con un Suiche on-off de dos posiciones,una Válvula de sobrepresión,tres Bujes insertos de 600A para terminales tipo T, tres Bujes tipo pozo, tres Fusibles de expulsión tipo bayoneta, tre</v>
          </cell>
        </row>
        <row r="521">
          <cell r="A521" t="str">
            <v>SUBESTACION PEDESTAL RADIAL DE 30kVA -60 Hz - 13.200 V / 208-120 V (con un Suiche on-off de dos posiciones,una Válvula de sobrepresión,tres Bujes insertos, tres Bujes tipo pozo, tres Codos de desconexión 15 kV 200Amp, tres Fusibles de expulsión tipo bayon</v>
          </cell>
        </row>
        <row r="522">
          <cell r="A522" t="str">
            <v>SUBESTACION PEDESTAL RADIAL DE 45kVA -60 Hz - 13.200 V / 208-120 V (con un Suiche on-off de dos posiciones,una Válvula de sobrepresión,tres Bujes insertos, tres Bujes tipo pozo, tres Codos de desconexión 15 kV 200Amp, tres Fusibles de expulsión tipo bayon</v>
          </cell>
        </row>
        <row r="523">
          <cell r="A523" t="str">
            <v>SUBESTACION PEDESTAL RADIAL DE 75kVA -60 Hz - 13.200 V / 208-120 V (con un Suiche on-off de dos posiciones,una Válvula de sobrepresión,tres Bujes insertos, tres Bujes tipo pozo, tres Codos de desconexión 15 kV 200Amp, tres Fusibles de expulsión tipo bayon</v>
          </cell>
        </row>
        <row r="524">
          <cell r="A524" t="str">
            <v>SUELO ARTIFICIAL CEMENTO CONDUCTOR CELEC</v>
          </cell>
        </row>
        <row r="525">
          <cell r="A525" t="str">
            <v>SUMINISTRO, INSTALACION  Y PUESTA EN FUNCIONAMIENTO DE TRANSFORMADOR TRIFASICO PEDESTAL TIPO RADIAL 300 kVA -DyN5, 60 Hz, 13200/214-123 VOLTIOS USO INTEMPERIE- HOMOLOGADO -INCLUYE  INSTALACION ACCESORIOS DE FIJACION -PROTOCOLO DE PRUEBAS. APLICACIÓN NORMA</v>
          </cell>
        </row>
        <row r="526">
          <cell r="A526" t="str">
            <v xml:space="preserve">SUPRESOR DE TRANSITORIOS DE TENSIÓN (TVSS) 3F-4H-50 KA - 240/120 VAC.-  REFERENCIA MERLIN GERIN </v>
          </cell>
        </row>
        <row r="527">
          <cell r="A527" t="str">
            <v>TABLERO  INDUSTRIAL, CON ESPACIO PARA UNA TRANSFERENCIA MANUAL POR INTERRUPTORES 500A,  DE EJECUCION UNICA IP44, PUERTA Y CHAPA  -220 V-5HILOS-60HZ , TIPO MULTICARGAS,  INTERRUPTORES DE SALIDA TRIFASICOS ;AUTOSOPORTADO,  FABRICADO EN LÁMINA GALVANIZADA CA</v>
          </cell>
        </row>
        <row r="528">
          <cell r="A528" t="str">
            <v>TABLERO DE 12 CIRCUITOS 2F4H, CON PUERTA - CON BARRAJE, BARRA NEUTRO Y BARRA TIERRA  Calidad Legrand, Siemens, SqareD o superior de marca reconocida y homologada por el CIDET</v>
          </cell>
        </row>
        <row r="529">
          <cell r="A529" t="str">
            <v>TABLERO DE 12 CIRCUITOS 2F4H, CON PUERTA Y ESPACIO PARA TOTALIZADOR, CHAPA Y LLAVE - CON BARRAJE, BARRA NEUTRO Y BARRA TIERRA  Calidad Legrand, Siemens, SqareD o superior de marca reconocida y homologada por el CIDET</v>
          </cell>
        </row>
        <row r="530">
          <cell r="A530" t="str">
            <v>TABLERO DE 12 CIRCUITOS 2F4H, SIN PUERTA CON BARRAJE, BARRA NEUTRO Y BARRA TIERRA  Calidad Legrand, Siemens, SqareD o superior de marca reconocida y homologada por el CIDET</v>
          </cell>
        </row>
        <row r="531">
          <cell r="A531" t="str">
            <v>TABLERO DE 12 CIRCUITOS 3F5H, CON PUERTA Y ESPACIO PARA TOTALIZADOR, CON  BARRA NEUTRO Y BARRA TIERRA  Calidad Legrand, Siemens, SqareD o superior de marca reconocida y homologada por el CIDET</v>
          </cell>
        </row>
        <row r="532">
          <cell r="A532" t="str">
            <v>TABLERO DE 12 CIRCUITOS 3F5H, CON PUERTA, BARRAJE, BARRA NEUTRO Y BARRA TIERRA  Calidad Legrand, Siemens, SqareD o superior de marca reconocida y homologada por el CIDET</v>
          </cell>
        </row>
        <row r="533">
          <cell r="A533" t="str">
            <v>TABLERO DE 18 CIRCUITOS 2F4H, CON PUERTA - CON BARRAJE, BARRA NEUTRO Y BARRA TIERRA  Calidad Legrand, Siemens, SqareD o superior de marca reconocida y homologada por el CIDET</v>
          </cell>
        </row>
        <row r="534">
          <cell r="A534" t="str">
            <v>TABLERO DE 18 CIRCUITOS 3F5H, CON PUERTA - CON BARRAJE, BARRA NEUTRO Y BARRA TIERRA  Calidad Legrand, Siemens, SqareD o superior de marca reconocida y homologada por el CIDET</v>
          </cell>
        </row>
        <row r="535">
          <cell r="A535" t="str">
            <v>TABLERO DE 18 CIRCUITOS 3F5H, CON PUERTA Y ESPACIO PARA TOTALIZADOR, BARRAJE , BARRA NEUTRO Y BARRA TIERRA  Calidad Legrand, Siemens, SqareD o superior de marca reconocida y homologada por el CIDET</v>
          </cell>
        </row>
        <row r="536">
          <cell r="A536" t="str">
            <v>TABLERO DE 24 CIRCUITOS 2F4H, CON PUERTA - CON BARRAJE PARA 125A BARRA NEUTRO Y BARRA TIERRA  Calidad Legrand, Siemens, SqareD o superior de marca reconocida y homologada por el CIDET</v>
          </cell>
        </row>
        <row r="537">
          <cell r="A537" t="str">
            <v>TABLERO DE 24 CIRCUITOS 3F5H, CON PUERTA Y ESPACIO PARA TOTALIZADOR,  BARRA NEUTRO Y BARRA TIERRA  Calidad Legrand, Siemens, SqareD o superior de marca reconocida y homologada por el CIDET</v>
          </cell>
        </row>
        <row r="538">
          <cell r="A538" t="str">
            <v>TABLERO DE 24 CIRCUITOS 3F5H, CON PUERTA,BARRAJE , BARRA NEUTRO Y BARRA TIERRA  Calidad Legrand, Siemens, SqareD o superior de marca reconocida y homologada por el CIDET</v>
          </cell>
        </row>
        <row r="539">
          <cell r="A539" t="str">
            <v>TABLERO DE 30 CIRCUITOS 3F5H, CON PUERTA Y ESPACIO PARA TOTALIZADOR, BARRAJE , BARRA NEUTRO Y BARRA TIERRA  Calidad Legrand, Siemens, SqareD o superior de marca reconocida y homologada por el CIDET</v>
          </cell>
        </row>
        <row r="540">
          <cell r="A540" t="str">
            <v>TABLERO DE 30 CIRCUITOS 3F5H, CON PUERTA, BARRAJE , BARRA NEUTRO Y BARRA TIERRA  Calidad Legrand, Siemens, SqareD o superior de marca reconocida y homologada por el CIDET</v>
          </cell>
        </row>
        <row r="541">
          <cell r="A541" t="str">
            <v>TABLERO DE 36 CIRCUITOS 3F5H, CON PUERTA Y ESPACIO PARA TOTALIZADOR, BARRAJE , BARRA NEUTRO Y BARRA TIERRA  Calidad Legrand, Siemens, SqareD o superior de marca reconocida y homologada por el CIDET</v>
          </cell>
        </row>
        <row r="542">
          <cell r="A542" t="str">
            <v>TABLERO DE 36 CIRCUITOS 3F5H, CON PUERTA, BARRAJE , BARRA NEUTRO Y BARRA TIERRA  Calidad Legrand, Siemens, SqareD o superior de marca reconocida y homologada por el CIDET</v>
          </cell>
        </row>
        <row r="543">
          <cell r="A543" t="str">
            <v>TABLERO DE 42 CIRCUITOS 3F5H, CON PUERTA Y ESPACIO PARA TOTALIZADOR, BARRAJE , BARRA NEUTRO Y BARRA TIERRA  Calidad Legrand, Siemens, SqareD o superior de marca reconocida y homologada por el CIDET</v>
          </cell>
        </row>
        <row r="544">
          <cell r="A544" t="str">
            <v>TABLERO DE 42 CIRCUITOS 3F5H, CON PUERTA, BARRAJE , BARRA NEUTRO Y BARRA TIERRA  Calidad Legrand, Siemens, SqareD o superior de marca reconocida y homologada por el CIDET</v>
          </cell>
        </row>
        <row r="545">
          <cell r="A545" t="str">
            <v>TABLERO DE 8 CIRCUITOS 2F4H, CON PUERTA - CON BARRA NEUTRO Y BARRA TIERRA  Calidad Legrand, Siemens, SqareD o superior de marca reconocida y homologada por el CIDET</v>
          </cell>
        </row>
        <row r="546">
          <cell r="A546" t="str">
            <v>TABLERO DE 8 CIRCUITOS 2F4H, SIN PUERTA CON BARRAJE , BARRA NEUTRO Y BARRA TIERRA  Calidad Legrand, Siemens, SqareD o superior de marca reconocida y homologada por el CIDET</v>
          </cell>
        </row>
        <row r="547">
          <cell r="A547" t="str">
            <v>TAPA CIEGA CON IMPACTO GALVANIZADA CUADRADA 4X4"</v>
          </cell>
        </row>
        <row r="548">
          <cell r="A548" t="str">
            <v>TAPA EN CONCRETO (4000 PSI)</v>
          </cell>
        </row>
        <row r="549">
          <cell r="A549" t="str">
            <v>TAPA EN PLATINA TIPO ALFAJOR</v>
          </cell>
        </row>
        <row r="550">
          <cell r="A550" t="str">
            <v>TAPÓN SELLADOR DE CABLE 25 mm2</v>
          </cell>
        </row>
        <row r="551">
          <cell r="A551" t="str">
            <v>TERMINAL-CONECTOR EMT 1 1/2"</v>
          </cell>
        </row>
        <row r="552">
          <cell r="A552" t="str">
            <v>TERMINAL-CONECTOR EMT 1 1/4"</v>
          </cell>
        </row>
        <row r="553">
          <cell r="A553" t="str">
            <v>TERMINAL-CONECTOR EMT 1"</v>
          </cell>
        </row>
        <row r="554">
          <cell r="A554" t="str">
            <v>TERMINAL-CONECTOR EMT 1/2"</v>
          </cell>
        </row>
        <row r="555">
          <cell r="A555" t="str">
            <v>TERMINAL-CONECTOR EMT 2"</v>
          </cell>
        </row>
        <row r="556">
          <cell r="A556" t="str">
            <v>TERMINAL-CONECTOR EMT 3"</v>
          </cell>
        </row>
        <row r="557">
          <cell r="A557" t="str">
            <v>TERMINAL-CONECTOR EMT 3/4"</v>
          </cell>
        </row>
        <row r="558">
          <cell r="A558" t="str">
            <v>TERMINALES PREMOLDEADAS PARA 15 kV - USO EXTERIOR PARA CALIBRES DE CABLES ENTRE 2 - 3/0 - JUEGO x 3 UNIDADES</v>
          </cell>
        </row>
        <row r="559">
          <cell r="A559" t="str">
            <v>TERMINALES PREMOLDEADAS PARA 15 kV - USO INTERIOR PARA CALIBRES DE CABLES ENTRE 2 - 3/0 - JUEGO x 3 UNIDADES</v>
          </cell>
        </row>
        <row r="560">
          <cell r="A560" t="str">
            <v xml:space="preserve">TOMA CORRIENTE  DOBLE  CON POLO A TIERRA (2P+T) 20A 250V </v>
          </cell>
        </row>
        <row r="561">
          <cell r="A561" t="str">
            <v>TOMA CORRIENTE DOBLE CON  PROTECCION FALLA A TIERRA GFCI</v>
          </cell>
        </row>
        <row r="562">
          <cell r="A562" t="str">
            <v xml:space="preserve">TOMA CORRIENTE DOBLE CON POLO A TIERRA  Nema 5-15-R; </v>
          </cell>
        </row>
        <row r="563">
          <cell r="A563" t="str">
            <v xml:space="preserve">TOMA CORRIENTE DOBLE CON POLO A TIERRA PARA PISO EN ACERO CROMADO Nema 5-15-R; </v>
          </cell>
        </row>
        <row r="564">
          <cell r="A564" t="str">
            <v xml:space="preserve">TOMA CORRIENTE DOBLE PROTECCION FALLA A TIERRA </v>
          </cell>
        </row>
        <row r="565">
          <cell r="A565" t="str">
            <v>TOMA CORRIENTE SUPRESOR DE TRASIENTES, DOBLE CON POLO A TIERRA (2P+T), 20A, 127 V CON POLO A TIERRA AISLADO Y GRADO HOSPITALARIO (HG). APTA PARA REDES REGULADAS Y CONEXIÓN DE EQUIPOS ALTAMENTE SENSIBLE (NEMA 5-20R) Color naranja</v>
          </cell>
        </row>
        <row r="566">
          <cell r="A566" t="str">
            <v>TOMA DE INCRUSTAR 50A 250V BIFASICA</v>
          </cell>
        </row>
        <row r="567">
          <cell r="A567" t="str">
            <v>TOMA PARA TABLERO 250V, 16A, 2P+T, IP 44, P17 Tempra</v>
          </cell>
        </row>
        <row r="568">
          <cell r="A568" t="str">
            <v>TOMA PARA TABLERO 250V, 32A, 3P+N+T, IP 44, P17 Tempra</v>
          </cell>
        </row>
        <row r="569">
          <cell r="A569" t="str">
            <v>TOMA PARA TABLERO 250V, 63A, 3P+N+T, IP 67, P17 Tempra</v>
          </cell>
        </row>
        <row r="570">
          <cell r="A570" t="str">
            <v xml:space="preserve">TOMA TVA COAXIAL </v>
          </cell>
        </row>
        <row r="571">
          <cell r="A571" t="str">
            <v>TORNILLO DE ACERO GALVANIZADO 1/2"X1 1/2"</v>
          </cell>
        </row>
        <row r="572">
          <cell r="A572" t="str">
            <v xml:space="preserve">TORNILLO DE ACERO GALVANIZADO 5/8" X 10" </v>
          </cell>
        </row>
        <row r="573">
          <cell r="A573" t="str">
            <v xml:space="preserve">TORNILLO DE ACERO GALVANIZADO 5/8" X 5" </v>
          </cell>
        </row>
        <row r="574">
          <cell r="A574" t="str">
            <v xml:space="preserve">TORNILLO DE ACERO GALVANIZADO 5/8" X 8" </v>
          </cell>
        </row>
        <row r="575">
          <cell r="A575" t="str">
            <v>TORNILLO DE BRONCE PARA BORNA TERMINAL</v>
          </cell>
        </row>
        <row r="576">
          <cell r="A576" t="str">
            <v>TORNILLO SOPORTE PARA BRAZO DE LUMINARIA 1/2"</v>
          </cell>
        </row>
        <row r="577">
          <cell r="A577" t="str">
            <v>TRANSFORMADOR DE DISTRIBUCION  TRIFASICO AUTOPROTEGIDO 15 kVA-DyN5, 60 Hz, 13.2 kV-208/120 VOLTIOS ACEITE- INTEMPERIE- HOMOLOGADO -ACCESORIOS DE SUJECION -PROTOCOLO DE PRUEBAS. (DPS PRIMARIOS, INTERRUPTOR AUTOMATICO BAJA TENSION  INCORPORADO EN LA CUBA CO</v>
          </cell>
        </row>
        <row r="578">
          <cell r="A578" t="str">
            <v xml:space="preserve">TRANSFORMADOR DE DISTRIBUCION  TRIFASICO AUTOPROTEGIDO 112,5 kVA-DyN5, 60 Hz, 13.2 kV-208/120 VOLTIOS ACEITE- INTEMPERIE- HOMOLOGADO -ACCESORIOS DE SUJECION -PROTOCOLO DE PRUEBAS. (DPS PRIMARIOS) </v>
          </cell>
        </row>
        <row r="579">
          <cell r="A579" t="str">
            <v xml:space="preserve">TRANSFORMADOR DE DISTRIBUCION  TRIFASICO AUTOPROTEGIDO 150 kVA-DyN5, 60 Hz, 13.2 kV-208/120 VOLTIOS ACEITE- INTEMPERIE- HOMOLOGADO -ACCESORIOS DE SUJECION -PROTOCOLO DE PRUEBAS. (DPS PRIMARIOS) </v>
          </cell>
        </row>
        <row r="580">
          <cell r="A580" t="str">
            <v xml:space="preserve">TRANSFORMADOR DE DISTRIBUCION  TRIFASICO AUTOPROTEGIDO 225 kVA-DyN5, 60 Hz, 13.2 kV-220/127 VOLTIOS ACEITE- INTEMPERIE- HOMOLOGADO -ACCESORIOS DE SUJECION -PROTOCOLO DE PRUEBAS. (DPS PRIMARIOS) </v>
          </cell>
        </row>
        <row r="581">
          <cell r="A581" t="str">
            <v>TRANSFORMADOR DE DISTRIBUCION  TRIFASICO AUTOPROTEGIDO 30 kVA-DyN5, 60 Hz, 13.2 kV-208/120 VOLTIOS ACEITE- INTEMPERIE- HOMOLOGADO -ACCESORIOS DE SUJECION -PROTOCOLO DE PRUEBAS. (DPS PRIMARIOS, INTERRUPTOR AUTOMATICO BAJA TENSION  INCORPORADO EN LA CUBA CO</v>
          </cell>
        </row>
        <row r="582">
          <cell r="A582" t="str">
            <v>TRANSFORMADOR DE DISTRIBUCION  TRIFASICO AUTOPROTEGIDO 45 kVA-DyN5, 60 Hz, 13.2 kV-208/120 VOLTIOS ACEITE- INTEMPERIE- HOMOLOGADO -ACCESORIOS DE SUJECION -PROTOCOLO DE PRUEBAS. (DPS PRIMARIOS, INTERRUPTOR AUTOMATICO BAJA TENSION  INCORPORADO EN LA CUBA CO</v>
          </cell>
        </row>
        <row r="583">
          <cell r="A583" t="str">
            <v xml:space="preserve">TRANSFORMADOR DE DISTRIBUCION  TRIFASICO AUTOPROTEGIDO 75 kVA-DyN5, 60 Hz, 13.2 kV-208/120 VOLTIOS ACEITE- INTEMPERIE- HOMOLOGADO -ACCESORIOS DE SUJECION -PROTOCOLO DE PRUEBAS. (DPS PRIMARIOS) </v>
          </cell>
        </row>
        <row r="584">
          <cell r="A584" t="str">
            <v>TRANSFORMADOR DE TENSIÓN TIPO SECO EXTERIOR, TENSIÓN NOMINAL PRIMARIA  DE 13,2 /√3 kV,  TENSIÓN NOMINAL  SECUNDARIA 120/√3 V, BIL 200 kVA, POTENCIA NOMINAL 25 VA, CLASE 0.5, 60 HZ, REF. ALSTOM O SIMILAR QUE CUMPLA CON LA NORMA IEC CORRESPONDIENTE, PROTOCO</v>
          </cell>
        </row>
        <row r="585">
          <cell r="A585" t="str">
            <v>TRANSFORMADORES DE CORRIENTE TIPO VENTANA RELACION 500/5, 240V, CLASE 0,5 50X12 mm</v>
          </cell>
        </row>
        <row r="586">
          <cell r="A586" t="str">
            <v>TRANSFORMADORES DE CORRIENTE TIPO VENTANA RELACION 800/5, 240V, CLASE 0,5 50X12 mm</v>
          </cell>
        </row>
        <row r="587">
          <cell r="A587" t="str">
            <v>TUBO CONDUIT GALVANIZADA EMT 1 1/2"</v>
          </cell>
        </row>
        <row r="588">
          <cell r="A588" t="str">
            <v>TUBO CONDUIT GALVANIZADA EMT 1"</v>
          </cell>
        </row>
        <row r="589">
          <cell r="A589" t="str">
            <v>TUBO CONDUIT GALVANIZADA EMT 1/2"</v>
          </cell>
        </row>
        <row r="590">
          <cell r="A590" t="str">
            <v xml:space="preserve">TUBO CONDUIT GALVANIZADA EMT 2" </v>
          </cell>
        </row>
        <row r="591">
          <cell r="A591" t="str">
            <v xml:space="preserve">TUBO CONDUIT GALVANIZADA EMT 3" </v>
          </cell>
        </row>
        <row r="592">
          <cell r="A592" t="str">
            <v xml:space="preserve">TUBO CONDUIT GALVANIZADA EMT 3/4" </v>
          </cell>
        </row>
        <row r="593">
          <cell r="A593" t="str">
            <v xml:space="preserve">TUBO CONDUIT GALVANIZADA EMT 4" </v>
          </cell>
        </row>
        <row r="594">
          <cell r="A594" t="str">
            <v xml:space="preserve">TUBO CONDUIT IMC 1 1/2" </v>
          </cell>
        </row>
        <row r="595">
          <cell r="A595" t="str">
            <v xml:space="preserve">TUBO CONDUIT IMC 1 1/4" </v>
          </cell>
        </row>
        <row r="596">
          <cell r="A596" t="str">
            <v xml:space="preserve">TUBO CONDUIT IMC 1" </v>
          </cell>
        </row>
        <row r="597">
          <cell r="A597" t="str">
            <v xml:space="preserve">TUBO CONDUIT IMC 1/2" </v>
          </cell>
        </row>
        <row r="598">
          <cell r="A598" t="str">
            <v xml:space="preserve">TUBO CONDUIT IMC 2" </v>
          </cell>
        </row>
        <row r="599">
          <cell r="A599" t="str">
            <v xml:space="preserve">TUBO CONDUIT IMC 3" </v>
          </cell>
        </row>
        <row r="600">
          <cell r="A600" t="str">
            <v>TUBO CONDUIT IMC 3/4"</v>
          </cell>
        </row>
        <row r="601">
          <cell r="A601" t="str">
            <v xml:space="preserve">TUBO CONDUIT IMC 4" </v>
          </cell>
        </row>
        <row r="602">
          <cell r="A602" t="str">
            <v>TUBO CONDUIT PVC 1 1/2"</v>
          </cell>
        </row>
        <row r="603">
          <cell r="A603" t="str">
            <v>TUBO CONDUIT PVC 1 1/4"</v>
          </cell>
        </row>
        <row r="604">
          <cell r="A604" t="str">
            <v>TUBO CONDUIT PVC 1"</v>
          </cell>
        </row>
        <row r="605">
          <cell r="A605" t="str">
            <v>TUBO CONDUIT PVC 1/2"</v>
          </cell>
        </row>
        <row r="606">
          <cell r="A606" t="str">
            <v>TUBO CONDUIT PVC 2"</v>
          </cell>
        </row>
        <row r="607">
          <cell r="A607" t="str">
            <v>TUBO CONDUIT PVC 3/4"</v>
          </cell>
        </row>
        <row r="608">
          <cell r="A608" t="str">
            <v xml:space="preserve">TUBO CONDUIT RIGID 1 1/2" </v>
          </cell>
        </row>
        <row r="609">
          <cell r="A609" t="str">
            <v xml:space="preserve">TUBO CONDUIT RIGID 1 1/4" </v>
          </cell>
        </row>
        <row r="610">
          <cell r="A610" t="str">
            <v xml:space="preserve">TUBO CONDUIT RIGID 1" </v>
          </cell>
        </row>
        <row r="611">
          <cell r="A611" t="str">
            <v xml:space="preserve">TUBO CONDUIT RIGID 1/2" </v>
          </cell>
        </row>
        <row r="612">
          <cell r="A612" t="str">
            <v xml:space="preserve">TUBO CONDUIT RIGID 2" </v>
          </cell>
        </row>
        <row r="613">
          <cell r="A613" t="str">
            <v xml:space="preserve">TUBO CONDUIT RIGID 3" </v>
          </cell>
        </row>
        <row r="614">
          <cell r="A614" t="str">
            <v>TUBO CONDUIT RIGID 3/4"</v>
          </cell>
        </row>
        <row r="615">
          <cell r="A615" t="str">
            <v xml:space="preserve">TUBO CONDUIT RIGID 4" </v>
          </cell>
        </row>
        <row r="616">
          <cell r="A616" t="str">
            <v>TUBO DE PVC FLEXIBLE DE ½ "</v>
          </cell>
        </row>
        <row r="617">
          <cell r="A617" t="str">
            <v>TUBO PVC DB 2"</v>
          </cell>
        </row>
        <row r="618">
          <cell r="A618" t="str">
            <v>TUBO PVC DB 3"</v>
          </cell>
        </row>
        <row r="619">
          <cell r="A619" t="str">
            <v>TUBO PVC DB 6"</v>
          </cell>
        </row>
        <row r="620">
          <cell r="A620" t="str">
            <v>TUBO PVC EB 3"</v>
          </cell>
        </row>
        <row r="621">
          <cell r="A621" t="str">
            <v>TUBO PVC EB 4"</v>
          </cell>
        </row>
        <row r="622">
          <cell r="A622" t="str">
            <v>TUBO PVC TDP CORRUGADO 4"</v>
          </cell>
        </row>
        <row r="623">
          <cell r="A623" t="str">
            <v>TUBO PVC TDP CORRUGADO 6"</v>
          </cell>
        </row>
        <row r="624">
          <cell r="A624" t="str">
            <v>TUERCA OJO ALARGADO 1/2"</v>
          </cell>
        </row>
        <row r="625">
          <cell r="A625" t="str">
            <v>TUERCA OJO ALARGADO 3/4"</v>
          </cell>
        </row>
        <row r="626">
          <cell r="A626" t="str">
            <v>TUERCA OJO ALARGADO 5/8"</v>
          </cell>
        </row>
        <row r="627">
          <cell r="A627" t="str">
            <v>UNION EN EMT DE 1/2</v>
          </cell>
        </row>
        <row r="628">
          <cell r="A628" t="str">
            <v>UNION EN EMT DE 3/4</v>
          </cell>
        </row>
        <row r="629">
          <cell r="A629" t="str">
            <v>UNION METALICA GLAVANIZADA IMC 3/4"</v>
          </cell>
        </row>
        <row r="630">
          <cell r="A630" t="str">
            <v>VARILLA COPPERWELD DE  5/8 X 1,80</v>
          </cell>
        </row>
        <row r="631">
          <cell r="A631" t="str">
            <v>VARILLA COPPERWELD DE  5/8 X 2,40</v>
          </cell>
        </row>
        <row r="632">
          <cell r="A632" t="str">
            <v>VARILLA DE ANCLAJE DE 3/4 x 180 cm</v>
          </cell>
        </row>
        <row r="633">
          <cell r="A633" t="str">
            <v>VARILLA DE ANCLAJE DE 5/8 x 150 cm</v>
          </cell>
        </row>
        <row r="634">
          <cell r="A634" t="str">
            <v>VARILLA DE ANCLAJE DE 5/8 x 150 cm</v>
          </cell>
        </row>
        <row r="635">
          <cell r="A635" t="str">
            <v>VARILLA DE ANCLAJE DE 5/8 x 180 cm</v>
          </cell>
        </row>
        <row r="636">
          <cell r="A636" t="str">
            <v>VENTILADOR ABANICO 56" DE PARED ORIGINAL KDK</v>
          </cell>
        </row>
        <row r="637">
          <cell r="A637" t="str">
            <v>VIGA DE MADERA INMUNIZADA 2,5 m</v>
          </cell>
        </row>
        <row r="638">
          <cell r="A638" t="str">
            <v xml:space="preserve">VIGUETA DE ANCLAJE </v>
          </cell>
        </row>
        <row r="639">
          <cell r="A639" t="str">
            <v>CLAVIIJA DE CAUCHO POLO A TIERRA</v>
          </cell>
        </row>
        <row r="640">
          <cell r="A640" t="str">
            <v>TOMA TRIPOLAR (3x20/250)</v>
          </cell>
        </row>
        <row r="642">
          <cell r="A642" t="str">
            <v>Z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arrollo"/>
      <sheetName val="Norma"/>
      <sheetName val="Indirectos"/>
      <sheetName val="Ubicacion"/>
      <sheetName val="Otras Tipologías"/>
      <sheetName val="Sector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 t="str">
            <v>Barrio</v>
          </cell>
          <cell r="C2" t="str">
            <v>Localidad</v>
          </cell>
          <cell r="D2" t="str">
            <v>Nombre Localidad</v>
          </cell>
          <cell r="E2" t="str">
            <v>Barrio</v>
          </cell>
          <cell r="F2" t="str">
            <v>Nombre Barrio</v>
          </cell>
        </row>
        <row r="3">
          <cell r="B3" t="str">
            <v>100242</v>
          </cell>
          <cell r="C3">
            <v>19</v>
          </cell>
          <cell r="D3" t="str">
            <v>CIUDAD BOLIVAR</v>
          </cell>
          <cell r="E3" t="str">
            <v>100242</v>
          </cell>
          <cell r="F3" t="str">
            <v>MARIA CANO</v>
          </cell>
        </row>
        <row r="4">
          <cell r="B4" t="str">
            <v>102103</v>
          </cell>
          <cell r="C4">
            <v>5</v>
          </cell>
          <cell r="D4" t="str">
            <v>USME</v>
          </cell>
          <cell r="E4" t="str">
            <v>102103</v>
          </cell>
          <cell r="F4" t="str">
            <v>EL NEVADO</v>
          </cell>
        </row>
        <row r="5">
          <cell r="B5" t="str">
            <v>102107</v>
          </cell>
          <cell r="C5">
            <v>5</v>
          </cell>
          <cell r="D5" t="str">
            <v>USME</v>
          </cell>
          <cell r="E5" t="str">
            <v>102107</v>
          </cell>
          <cell r="F5" t="str">
            <v>LOS OLIVARES</v>
          </cell>
        </row>
        <row r="6">
          <cell r="B6" t="str">
            <v>102143</v>
          </cell>
          <cell r="C6">
            <v>5</v>
          </cell>
          <cell r="D6" t="str">
            <v>USME</v>
          </cell>
          <cell r="E6" t="str">
            <v>102143</v>
          </cell>
          <cell r="F6" t="str">
            <v>EL PORVENIR II SECTOR</v>
          </cell>
        </row>
        <row r="7">
          <cell r="B7" t="str">
            <v>102204</v>
          </cell>
          <cell r="C7">
            <v>5</v>
          </cell>
          <cell r="D7" t="str">
            <v>USME</v>
          </cell>
          <cell r="E7" t="str">
            <v>102204</v>
          </cell>
          <cell r="F7" t="str">
            <v>BULEV DEL SUR, COMPOST.III SEC., LA ESP</v>
          </cell>
        </row>
        <row r="8">
          <cell r="B8" t="str">
            <v>102205</v>
          </cell>
          <cell r="C8">
            <v>5</v>
          </cell>
          <cell r="D8" t="str">
            <v>USME</v>
          </cell>
          <cell r="E8" t="str">
            <v>102205</v>
          </cell>
          <cell r="F8" t="str">
            <v>ALFONSO LOPEZ (SECTOR CHARALA)</v>
          </cell>
        </row>
        <row r="9">
          <cell r="B9" t="str">
            <v>102209</v>
          </cell>
          <cell r="C9">
            <v>5</v>
          </cell>
          <cell r="D9" t="str">
            <v>USME</v>
          </cell>
          <cell r="E9" t="str">
            <v>102209</v>
          </cell>
          <cell r="F9" t="str">
            <v>VILLA ANITA SUR</v>
          </cell>
        </row>
        <row r="10">
          <cell r="B10" t="str">
            <v>102210</v>
          </cell>
          <cell r="C10">
            <v>5</v>
          </cell>
          <cell r="D10" t="str">
            <v>USME</v>
          </cell>
          <cell r="E10" t="str">
            <v>102210</v>
          </cell>
          <cell r="F10" t="str">
            <v>ALEMANIA I SECTOR,EL ESPINO, ANTONIO JO</v>
          </cell>
        </row>
        <row r="11">
          <cell r="B11" t="str">
            <v>102344</v>
          </cell>
          <cell r="C11">
            <v>5</v>
          </cell>
          <cell r="D11" t="str">
            <v>USME</v>
          </cell>
          <cell r="E11" t="str">
            <v>102344</v>
          </cell>
          <cell r="F11" t="str">
            <v>LA FISCALA</v>
          </cell>
        </row>
        <row r="12">
          <cell r="B12" t="str">
            <v>102512</v>
          </cell>
          <cell r="C12">
            <v>5</v>
          </cell>
          <cell r="D12" t="str">
            <v>USME</v>
          </cell>
          <cell r="E12" t="str">
            <v>102512</v>
          </cell>
          <cell r="F12" t="str">
            <v>ORQUIDEA DEL SUR</v>
          </cell>
        </row>
        <row r="13">
          <cell r="B13" t="str">
            <v>105108</v>
          </cell>
          <cell r="C13">
            <v>9</v>
          </cell>
          <cell r="D13" t="str">
            <v>FONTIBON</v>
          </cell>
          <cell r="E13" t="str">
            <v>105108</v>
          </cell>
          <cell r="F13" t="str">
            <v>EL TINTAL A.S.D.</v>
          </cell>
        </row>
        <row r="14">
          <cell r="B14" t="str">
            <v>105201</v>
          </cell>
          <cell r="C14">
            <v>8</v>
          </cell>
          <cell r="D14" t="str">
            <v>KENNEDY</v>
          </cell>
          <cell r="E14" t="str">
            <v>105201</v>
          </cell>
          <cell r="F14" t="str">
            <v>OSORIO</v>
          </cell>
        </row>
        <row r="15">
          <cell r="B15" t="str">
            <v>105208</v>
          </cell>
          <cell r="C15">
            <v>8</v>
          </cell>
          <cell r="D15" t="str">
            <v>KENNEDY</v>
          </cell>
          <cell r="E15" t="str">
            <v>105208</v>
          </cell>
          <cell r="F15" t="str">
            <v>OSORIO</v>
          </cell>
        </row>
        <row r="16">
          <cell r="B16" t="str">
            <v>105214</v>
          </cell>
          <cell r="C16">
            <v>7</v>
          </cell>
          <cell r="D16" t="str">
            <v>BOSA</v>
          </cell>
          <cell r="E16" t="str">
            <v>105214</v>
          </cell>
          <cell r="F16" t="str">
            <v>BRAS II SECT-LAS ACAC,EL PORV,NUEV ESPER</v>
          </cell>
        </row>
        <row r="17">
          <cell r="B17" t="str">
            <v>105218</v>
          </cell>
          <cell r="C17">
            <v>8</v>
          </cell>
          <cell r="D17" t="str">
            <v>KENNEDY</v>
          </cell>
          <cell r="E17" t="str">
            <v>105218</v>
          </cell>
          <cell r="F17" t="str">
            <v>CALANDAIMA</v>
          </cell>
        </row>
        <row r="18">
          <cell r="B18" t="str">
            <v>105226</v>
          </cell>
          <cell r="C18">
            <v>7</v>
          </cell>
          <cell r="D18" t="str">
            <v>BOSA</v>
          </cell>
          <cell r="E18" t="str">
            <v>105226</v>
          </cell>
          <cell r="F18" t="str">
            <v>CHUCUA VACA-V.TORRE-LOMA-LA MARIA</v>
          </cell>
        </row>
        <row r="19">
          <cell r="B19" t="str">
            <v>105301</v>
          </cell>
          <cell r="C19">
            <v>7</v>
          </cell>
          <cell r="D19" t="str">
            <v>BOSA</v>
          </cell>
          <cell r="E19" t="str">
            <v>105301</v>
          </cell>
          <cell r="F19" t="str">
            <v>S.ANTONIO-POTRERITO-S.BERNARDINO S.JOAQN</v>
          </cell>
        </row>
        <row r="20">
          <cell r="B20" t="str">
            <v>105309</v>
          </cell>
          <cell r="C20">
            <v>7</v>
          </cell>
          <cell r="D20" t="str">
            <v>BOSA</v>
          </cell>
          <cell r="E20" t="str">
            <v>105309</v>
          </cell>
          <cell r="F20" t="str">
            <v>LA CABANA, EL REGALO</v>
          </cell>
        </row>
        <row r="21">
          <cell r="B21" t="str">
            <v>105310</v>
          </cell>
          <cell r="C21">
            <v>7</v>
          </cell>
          <cell r="D21" t="str">
            <v>BOSA</v>
          </cell>
          <cell r="E21" t="str">
            <v>105310</v>
          </cell>
          <cell r="F21" t="str">
            <v>VILLAS DEL PROGRESO</v>
          </cell>
        </row>
        <row r="22">
          <cell r="B22" t="str">
            <v>105312</v>
          </cell>
          <cell r="C22">
            <v>7</v>
          </cell>
          <cell r="D22" t="str">
            <v>BOSA</v>
          </cell>
          <cell r="E22" t="str">
            <v>105312</v>
          </cell>
          <cell r="F22" t="str">
            <v>VILLA ANNY</v>
          </cell>
        </row>
        <row r="23">
          <cell r="B23" t="str">
            <v>105315</v>
          </cell>
          <cell r="C23">
            <v>7</v>
          </cell>
          <cell r="D23" t="str">
            <v>BOSA</v>
          </cell>
          <cell r="E23" t="str">
            <v>105315</v>
          </cell>
          <cell r="F23" t="str">
            <v>CHICO SUR,CAUCE,ESTANZU.PORTAL,CONCEPCIO</v>
          </cell>
        </row>
        <row r="24">
          <cell r="B24" t="str">
            <v>105321</v>
          </cell>
          <cell r="C24">
            <v>7</v>
          </cell>
          <cell r="D24" t="str">
            <v>BOSA</v>
          </cell>
          <cell r="E24" t="str">
            <v>105321</v>
          </cell>
          <cell r="F24" t="str">
            <v>EL JARDIN</v>
          </cell>
        </row>
        <row r="25">
          <cell r="B25" t="str">
            <v>105327</v>
          </cell>
          <cell r="C25">
            <v>8</v>
          </cell>
          <cell r="D25" t="str">
            <v>KENNEDY</v>
          </cell>
          <cell r="E25" t="str">
            <v>105327</v>
          </cell>
          <cell r="F25" t="str">
            <v>LAS MARGARITAS II III SEC.</v>
          </cell>
        </row>
        <row r="26">
          <cell r="B26" t="str">
            <v>107002</v>
          </cell>
          <cell r="C26">
            <v>11</v>
          </cell>
          <cell r="D26" t="str">
            <v>SUBA</v>
          </cell>
          <cell r="E26" t="str">
            <v>107002</v>
          </cell>
          <cell r="F26" t="str">
            <v>CASABLANCA</v>
          </cell>
        </row>
        <row r="27">
          <cell r="B27" t="str">
            <v>107005</v>
          </cell>
          <cell r="C27">
            <v>11</v>
          </cell>
          <cell r="D27" t="str">
            <v>SUBA</v>
          </cell>
          <cell r="E27" t="str">
            <v>107005</v>
          </cell>
          <cell r="F27" t="str">
            <v>TIBABUYES</v>
          </cell>
        </row>
        <row r="28">
          <cell r="B28" t="str">
            <v>107006</v>
          </cell>
          <cell r="C28">
            <v>11</v>
          </cell>
          <cell r="D28" t="str">
            <v>SUBA</v>
          </cell>
          <cell r="E28" t="str">
            <v>107006</v>
          </cell>
          <cell r="F28" t="str">
            <v>TUNA</v>
          </cell>
        </row>
        <row r="29">
          <cell r="B29" t="str">
            <v>107007</v>
          </cell>
          <cell r="C29">
            <v>11</v>
          </cell>
          <cell r="D29" t="str">
            <v>SUBA</v>
          </cell>
          <cell r="E29" t="str">
            <v>107007</v>
          </cell>
          <cell r="F29" t="str">
            <v>LAS MERCEDES</v>
          </cell>
        </row>
        <row r="30">
          <cell r="B30" t="str">
            <v>107701</v>
          </cell>
          <cell r="C30">
            <v>11</v>
          </cell>
          <cell r="D30" t="str">
            <v>SUBA</v>
          </cell>
          <cell r="E30" t="str">
            <v>107701</v>
          </cell>
          <cell r="F30" t="str">
            <v>VILLA DEL CAMPO, ALASKA-SUBA</v>
          </cell>
        </row>
        <row r="31">
          <cell r="B31" t="str">
            <v>107803</v>
          </cell>
          <cell r="C31">
            <v>11</v>
          </cell>
          <cell r="D31" t="str">
            <v>SUBA</v>
          </cell>
          <cell r="E31" t="str">
            <v>107803</v>
          </cell>
          <cell r="F31" t="str">
            <v>TIBABUYES</v>
          </cell>
        </row>
        <row r="32">
          <cell r="B32" t="str">
            <v>108001</v>
          </cell>
          <cell r="C32">
            <v>1</v>
          </cell>
          <cell r="D32" t="str">
            <v>USAQUEN</v>
          </cell>
          <cell r="E32" t="str">
            <v>108001</v>
          </cell>
          <cell r="F32" t="str">
            <v>TORCA</v>
          </cell>
        </row>
        <row r="33">
          <cell r="B33" t="str">
            <v>108002</v>
          </cell>
          <cell r="C33">
            <v>1</v>
          </cell>
          <cell r="D33" t="str">
            <v>USAQUEN</v>
          </cell>
          <cell r="E33" t="str">
            <v>108002</v>
          </cell>
          <cell r="F33" t="str">
            <v>TIBABITA</v>
          </cell>
        </row>
        <row r="34">
          <cell r="B34" t="str">
            <v>108003</v>
          </cell>
          <cell r="C34">
            <v>1</v>
          </cell>
          <cell r="D34" t="str">
            <v>USAQUEN</v>
          </cell>
          <cell r="E34" t="str">
            <v>108003</v>
          </cell>
          <cell r="F34" t="str">
            <v>LAS FLORES</v>
          </cell>
        </row>
        <row r="35">
          <cell r="B35" t="str">
            <v>108004</v>
          </cell>
          <cell r="C35">
            <v>1</v>
          </cell>
          <cell r="D35" t="str">
            <v>USAQUEN</v>
          </cell>
          <cell r="E35" t="str">
            <v>108004</v>
          </cell>
          <cell r="F35" t="str">
            <v>PARAMO</v>
          </cell>
        </row>
        <row r="36">
          <cell r="B36" t="str">
            <v>108531</v>
          </cell>
          <cell r="C36">
            <v>1</v>
          </cell>
          <cell r="D36" t="str">
            <v>USAQUEN</v>
          </cell>
          <cell r="E36" t="str">
            <v>108531</v>
          </cell>
          <cell r="F36" t="str">
            <v>CANAIMA</v>
          </cell>
        </row>
        <row r="37">
          <cell r="B37" t="str">
            <v>201311</v>
          </cell>
          <cell r="C37">
            <v>4</v>
          </cell>
          <cell r="D37" t="str">
            <v>SAN CRISTOBAL</v>
          </cell>
          <cell r="E37" t="str">
            <v>201311</v>
          </cell>
          <cell r="F37" t="str">
            <v>TIBAQUE RURAL</v>
          </cell>
        </row>
        <row r="38">
          <cell r="B38" t="str">
            <v>202210</v>
          </cell>
          <cell r="C38">
            <v>5</v>
          </cell>
          <cell r="D38" t="str">
            <v>USME</v>
          </cell>
          <cell r="E38" t="str">
            <v>202210</v>
          </cell>
          <cell r="F38" t="str">
            <v>VILLA ISRAEL</v>
          </cell>
        </row>
        <row r="39">
          <cell r="B39" t="str">
            <v>202301</v>
          </cell>
          <cell r="C39">
            <v>5</v>
          </cell>
          <cell r="D39" t="str">
            <v>USME</v>
          </cell>
          <cell r="E39" t="str">
            <v>202301</v>
          </cell>
          <cell r="F39" t="str">
            <v>EL BOSQUE SUR ORIENTAL RURAL</v>
          </cell>
        </row>
        <row r="40">
          <cell r="B40" t="str">
            <v>202512</v>
          </cell>
          <cell r="C40">
            <v>5</v>
          </cell>
          <cell r="D40" t="str">
            <v>USME</v>
          </cell>
          <cell r="E40" t="str">
            <v>202512</v>
          </cell>
          <cell r="F40" t="str">
            <v>LA ORQUIDEA</v>
          </cell>
        </row>
        <row r="41">
          <cell r="B41" t="str">
            <v>206151</v>
          </cell>
          <cell r="C41">
            <v>10</v>
          </cell>
          <cell r="D41" t="str">
            <v>ENGATIVA</v>
          </cell>
          <cell r="E41" t="str">
            <v>206151</v>
          </cell>
          <cell r="F41" t="str">
            <v>SAN ANTONIO ENGATIVA</v>
          </cell>
        </row>
        <row r="42">
          <cell r="B42" t="str">
            <v>207007</v>
          </cell>
          <cell r="C42">
            <v>11</v>
          </cell>
          <cell r="D42" t="str">
            <v>SUBA</v>
          </cell>
          <cell r="E42" t="str">
            <v>207007</v>
          </cell>
          <cell r="F42" t="str">
            <v>ALASKA - VILLA DEL CAMPO</v>
          </cell>
        </row>
        <row r="43">
          <cell r="B43" t="str">
            <v>207801</v>
          </cell>
          <cell r="C43">
            <v>11</v>
          </cell>
          <cell r="D43" t="str">
            <v>SUBA</v>
          </cell>
          <cell r="E43" t="str">
            <v>207801</v>
          </cell>
          <cell r="F43" t="str">
            <v>SANTA CECILIA</v>
          </cell>
        </row>
        <row r="44">
          <cell r="B44" t="str">
            <v>001101</v>
          </cell>
          <cell r="C44">
            <v>4</v>
          </cell>
          <cell r="D44" t="str">
            <v>SAN CRISTOBAL</v>
          </cell>
          <cell r="E44" t="str">
            <v>001101</v>
          </cell>
          <cell r="F44" t="str">
            <v>LAS BRISAS</v>
          </cell>
        </row>
        <row r="45">
          <cell r="B45" t="str">
            <v>001102</v>
          </cell>
          <cell r="C45">
            <v>4</v>
          </cell>
          <cell r="D45" t="str">
            <v>SAN CRISTOBAL</v>
          </cell>
          <cell r="E45" t="str">
            <v>001102</v>
          </cell>
          <cell r="F45" t="str">
            <v>BUENOS AIRES</v>
          </cell>
        </row>
        <row r="46">
          <cell r="B46" t="str">
            <v>001103</v>
          </cell>
          <cell r="C46">
            <v>4</v>
          </cell>
          <cell r="D46" t="str">
            <v>SAN CRISTOBAL</v>
          </cell>
          <cell r="E46" t="str">
            <v>001103</v>
          </cell>
          <cell r="F46" t="str">
            <v>VITELMA</v>
          </cell>
        </row>
        <row r="47">
          <cell r="B47" t="str">
            <v>001104</v>
          </cell>
          <cell r="C47">
            <v>4</v>
          </cell>
          <cell r="D47" t="str">
            <v>SAN CRISTOBAL</v>
          </cell>
          <cell r="E47" t="str">
            <v>001104</v>
          </cell>
          <cell r="F47" t="str">
            <v>MOLINOS DE ORIENTE</v>
          </cell>
        </row>
        <row r="48">
          <cell r="B48" t="str">
            <v>001106</v>
          </cell>
          <cell r="C48">
            <v>4</v>
          </cell>
          <cell r="D48" t="str">
            <v>SAN CRISTOBAL</v>
          </cell>
          <cell r="E48" t="str">
            <v>001106</v>
          </cell>
          <cell r="F48" t="str">
            <v>SAN BLAS</v>
          </cell>
        </row>
        <row r="49">
          <cell r="B49" t="str">
            <v>001107</v>
          </cell>
          <cell r="C49">
            <v>4</v>
          </cell>
          <cell r="D49" t="str">
            <v>SAN CRISTOBAL</v>
          </cell>
          <cell r="E49" t="str">
            <v>001107</v>
          </cell>
          <cell r="F49" t="str">
            <v>LAS MERCEDES</v>
          </cell>
        </row>
        <row r="50">
          <cell r="B50" t="str">
            <v>001108</v>
          </cell>
          <cell r="C50">
            <v>4</v>
          </cell>
          <cell r="D50" t="str">
            <v>SAN CRISTOBAL</v>
          </cell>
          <cell r="E50" t="str">
            <v>001108</v>
          </cell>
          <cell r="F50" t="str">
            <v>SAN CRISTOBAL SUR</v>
          </cell>
        </row>
        <row r="51">
          <cell r="B51" t="str">
            <v>001109</v>
          </cell>
          <cell r="C51">
            <v>4</v>
          </cell>
          <cell r="D51" t="str">
            <v>SAN CRISTOBAL</v>
          </cell>
          <cell r="E51" t="str">
            <v>001109</v>
          </cell>
          <cell r="F51" t="str">
            <v>LA MARIA</v>
          </cell>
        </row>
        <row r="52">
          <cell r="B52" t="str">
            <v>001110</v>
          </cell>
          <cell r="C52">
            <v>4</v>
          </cell>
          <cell r="D52" t="str">
            <v>SAN CRISTOBAL</v>
          </cell>
          <cell r="E52" t="str">
            <v>001110</v>
          </cell>
          <cell r="F52" t="str">
            <v>SAN JAVIER</v>
          </cell>
        </row>
        <row r="53">
          <cell r="B53" t="str">
            <v>001111</v>
          </cell>
          <cell r="C53">
            <v>4</v>
          </cell>
          <cell r="D53" t="str">
            <v>SAN CRISTOBAL</v>
          </cell>
          <cell r="E53" t="str">
            <v>001111</v>
          </cell>
          <cell r="F53" t="str">
            <v>SANTA ANA SUR</v>
          </cell>
        </row>
        <row r="54">
          <cell r="B54" t="str">
            <v>001112</v>
          </cell>
          <cell r="C54">
            <v>4</v>
          </cell>
          <cell r="D54" t="str">
            <v>SAN CRISTOBAL</v>
          </cell>
          <cell r="E54" t="str">
            <v>001112</v>
          </cell>
          <cell r="F54" t="str">
            <v>PRIMERO DE MAYO</v>
          </cell>
        </row>
        <row r="55">
          <cell r="B55" t="str">
            <v>001113</v>
          </cell>
          <cell r="C55">
            <v>4</v>
          </cell>
          <cell r="D55" t="str">
            <v>SAN CRISTOBAL</v>
          </cell>
          <cell r="E55" t="str">
            <v>001113</v>
          </cell>
          <cell r="F55" t="str">
            <v>SAN BLAS II</v>
          </cell>
        </row>
        <row r="56">
          <cell r="B56" t="str">
            <v>001114</v>
          </cell>
          <cell r="C56">
            <v>4</v>
          </cell>
          <cell r="D56" t="str">
            <v>SAN CRISTOBAL</v>
          </cell>
          <cell r="E56" t="str">
            <v>001114</v>
          </cell>
          <cell r="F56" t="str">
            <v>VELODROMO</v>
          </cell>
        </row>
        <row r="57">
          <cell r="B57" t="str">
            <v>001115</v>
          </cell>
          <cell r="C57">
            <v>4</v>
          </cell>
          <cell r="D57" t="str">
            <v>SAN CRISTOBAL</v>
          </cell>
          <cell r="E57" t="str">
            <v>001115</v>
          </cell>
          <cell r="F57" t="str">
            <v>MONTE CARLO</v>
          </cell>
        </row>
        <row r="58">
          <cell r="B58" t="str">
            <v>001116</v>
          </cell>
          <cell r="C58">
            <v>4</v>
          </cell>
          <cell r="D58" t="str">
            <v>SAN CRISTOBAL</v>
          </cell>
          <cell r="E58" t="str">
            <v>001116</v>
          </cell>
          <cell r="F58" t="str">
            <v>TIBAQUE URBANO</v>
          </cell>
        </row>
        <row r="59">
          <cell r="B59" t="str">
            <v>001118</v>
          </cell>
          <cell r="C59">
            <v>4</v>
          </cell>
          <cell r="D59" t="str">
            <v>SAN CRISTOBAL</v>
          </cell>
          <cell r="E59" t="str">
            <v>001118</v>
          </cell>
          <cell r="F59" t="str">
            <v>LOS LAURELES SUR ORIENTAL I</v>
          </cell>
        </row>
        <row r="60">
          <cell r="B60" t="str">
            <v>001119</v>
          </cell>
          <cell r="C60">
            <v>4</v>
          </cell>
          <cell r="D60" t="str">
            <v>SAN CRISTOBAL</v>
          </cell>
          <cell r="E60" t="str">
            <v>001119</v>
          </cell>
          <cell r="F60" t="str">
            <v>AGUAS CLARAS I</v>
          </cell>
        </row>
        <row r="61">
          <cell r="B61" t="str">
            <v>001201</v>
          </cell>
          <cell r="C61">
            <v>15</v>
          </cell>
          <cell r="D61" t="str">
            <v>ANTONIO NARINO</v>
          </cell>
          <cell r="E61" t="str">
            <v>001201</v>
          </cell>
          <cell r="F61" t="str">
            <v>SEVILLA</v>
          </cell>
        </row>
        <row r="62">
          <cell r="B62" t="str">
            <v>001202</v>
          </cell>
          <cell r="C62">
            <v>15</v>
          </cell>
          <cell r="D62" t="str">
            <v>ANTONIO NARINO</v>
          </cell>
          <cell r="E62" t="str">
            <v>001202</v>
          </cell>
          <cell r="F62" t="str">
            <v>CIUDAD BERNA</v>
          </cell>
        </row>
        <row r="63">
          <cell r="B63" t="str">
            <v>001203</v>
          </cell>
          <cell r="C63">
            <v>15</v>
          </cell>
          <cell r="D63" t="str">
            <v>ANTONIO NARINO</v>
          </cell>
          <cell r="E63" t="str">
            <v>001203</v>
          </cell>
          <cell r="F63" t="str">
            <v>CARACAS</v>
          </cell>
        </row>
        <row r="64">
          <cell r="B64" t="str">
            <v>001204</v>
          </cell>
          <cell r="C64">
            <v>15</v>
          </cell>
          <cell r="D64" t="str">
            <v>ANTONIO NARINO</v>
          </cell>
          <cell r="E64" t="str">
            <v>001204</v>
          </cell>
          <cell r="F64" t="str">
            <v>CIUDAD JARDIN SUR</v>
          </cell>
        </row>
        <row r="65">
          <cell r="B65" t="str">
            <v>001205</v>
          </cell>
          <cell r="C65">
            <v>4</v>
          </cell>
          <cell r="D65" t="str">
            <v>SAN CRISTOBAL</v>
          </cell>
          <cell r="E65" t="str">
            <v>001205</v>
          </cell>
          <cell r="F65" t="str">
            <v>SOCIEGO</v>
          </cell>
        </row>
        <row r="66">
          <cell r="B66" t="str">
            <v>001206</v>
          </cell>
          <cell r="C66">
            <v>4</v>
          </cell>
          <cell r="D66" t="str">
            <v>SAN CRISTOBAL</v>
          </cell>
          <cell r="E66" t="str">
            <v>001206</v>
          </cell>
          <cell r="F66" t="str">
            <v>QUINTA RAMOS</v>
          </cell>
        </row>
        <row r="67">
          <cell r="B67" t="str">
            <v>001207</v>
          </cell>
          <cell r="C67">
            <v>4</v>
          </cell>
          <cell r="D67" t="str">
            <v>SAN CRISTOBAL</v>
          </cell>
          <cell r="E67" t="str">
            <v>001207</v>
          </cell>
          <cell r="F67" t="str">
            <v>NARINO SUR</v>
          </cell>
        </row>
        <row r="68">
          <cell r="B68" t="str">
            <v>001208</v>
          </cell>
          <cell r="C68">
            <v>15</v>
          </cell>
          <cell r="D68" t="str">
            <v>ANTONIO NARINO</v>
          </cell>
          <cell r="E68" t="str">
            <v>001208</v>
          </cell>
          <cell r="F68" t="str">
            <v>LA HORTUA</v>
          </cell>
        </row>
        <row r="69">
          <cell r="B69" t="str">
            <v>001209</v>
          </cell>
          <cell r="C69">
            <v>4</v>
          </cell>
          <cell r="D69" t="str">
            <v>SAN CRISTOBAL</v>
          </cell>
          <cell r="E69" t="str">
            <v>001209</v>
          </cell>
          <cell r="F69" t="str">
            <v>MODELO SUR</v>
          </cell>
        </row>
        <row r="70">
          <cell r="B70" t="str">
            <v>001210</v>
          </cell>
          <cell r="C70">
            <v>4</v>
          </cell>
          <cell r="D70" t="str">
            <v>SAN CRISTOBAL</v>
          </cell>
          <cell r="E70" t="str">
            <v>001210</v>
          </cell>
          <cell r="F70" t="str">
            <v>CALVO SUR</v>
          </cell>
        </row>
        <row r="71">
          <cell r="B71" t="str">
            <v>001211</v>
          </cell>
          <cell r="C71">
            <v>15</v>
          </cell>
          <cell r="D71" t="str">
            <v>ANTONIO NARINO</v>
          </cell>
          <cell r="E71" t="str">
            <v>001211</v>
          </cell>
          <cell r="F71" t="str">
            <v>POLICARPA</v>
          </cell>
        </row>
        <row r="72">
          <cell r="B72" t="str">
            <v>001301</v>
          </cell>
          <cell r="C72">
            <v>4</v>
          </cell>
          <cell r="D72" t="str">
            <v>SAN CRISTOBAL</v>
          </cell>
          <cell r="E72" t="str">
            <v>001301</v>
          </cell>
          <cell r="F72" t="str">
            <v>GRANADA SUR</v>
          </cell>
        </row>
        <row r="73">
          <cell r="B73" t="str">
            <v>001302</v>
          </cell>
          <cell r="C73">
            <v>4</v>
          </cell>
          <cell r="D73" t="str">
            <v>SAN CRISTOBAL</v>
          </cell>
          <cell r="E73" t="str">
            <v>001302</v>
          </cell>
          <cell r="F73" t="str">
            <v>MONTEBELLO</v>
          </cell>
        </row>
        <row r="74">
          <cell r="B74" t="str">
            <v>001303</v>
          </cell>
          <cell r="C74">
            <v>4</v>
          </cell>
          <cell r="D74" t="str">
            <v>SAN CRISTOBAL</v>
          </cell>
          <cell r="E74" t="str">
            <v>001303</v>
          </cell>
          <cell r="F74" t="str">
            <v>CORDOBA</v>
          </cell>
        </row>
        <row r="75">
          <cell r="B75" t="str">
            <v>001304</v>
          </cell>
          <cell r="C75">
            <v>4</v>
          </cell>
          <cell r="D75" t="str">
            <v>SAN CRISTOBAL</v>
          </cell>
          <cell r="E75" t="str">
            <v>001304</v>
          </cell>
          <cell r="F75" t="str">
            <v>BELLO HORIZONTE</v>
          </cell>
        </row>
        <row r="76">
          <cell r="B76" t="str">
            <v>001305</v>
          </cell>
          <cell r="C76">
            <v>4</v>
          </cell>
          <cell r="D76" t="str">
            <v>SAN CRISTOBAL</v>
          </cell>
          <cell r="E76" t="str">
            <v>001305</v>
          </cell>
          <cell r="F76" t="str">
            <v>ATENAS</v>
          </cell>
        </row>
        <row r="77">
          <cell r="B77" t="str">
            <v>001306</v>
          </cell>
          <cell r="C77">
            <v>4</v>
          </cell>
          <cell r="D77" t="str">
            <v>SAN CRISTOBAL</v>
          </cell>
          <cell r="E77" t="str">
            <v>001306</v>
          </cell>
          <cell r="F77" t="str">
            <v>SAN PEDRO</v>
          </cell>
        </row>
        <row r="78">
          <cell r="B78" t="str">
            <v>001307</v>
          </cell>
          <cell r="C78">
            <v>4</v>
          </cell>
          <cell r="D78" t="str">
            <v>SAN CRISTOBAL</v>
          </cell>
          <cell r="E78" t="str">
            <v>001307</v>
          </cell>
          <cell r="F78" t="str">
            <v>RAMAJAL</v>
          </cell>
        </row>
        <row r="79">
          <cell r="B79" t="str">
            <v>001308</v>
          </cell>
          <cell r="C79">
            <v>4</v>
          </cell>
          <cell r="D79" t="str">
            <v>SAN CRISTOBAL</v>
          </cell>
          <cell r="E79" t="str">
            <v>001308</v>
          </cell>
          <cell r="F79" t="str">
            <v>SANTA INES SUR</v>
          </cell>
        </row>
        <row r="80">
          <cell r="B80" t="str">
            <v>001309</v>
          </cell>
          <cell r="C80">
            <v>4</v>
          </cell>
          <cell r="D80" t="str">
            <v>SAN CRISTOBAL</v>
          </cell>
          <cell r="E80" t="str">
            <v>001309</v>
          </cell>
          <cell r="F80" t="str">
            <v>SAN VICENTE</v>
          </cell>
        </row>
        <row r="81">
          <cell r="B81" t="str">
            <v>001310</v>
          </cell>
          <cell r="C81">
            <v>4</v>
          </cell>
          <cell r="D81" t="str">
            <v>SAN CRISTOBAL</v>
          </cell>
          <cell r="E81" t="str">
            <v>001310</v>
          </cell>
          <cell r="F81" t="str">
            <v>LA VICTORIA</v>
          </cell>
        </row>
        <row r="82">
          <cell r="B82" t="str">
            <v>001311</v>
          </cell>
          <cell r="C82">
            <v>4</v>
          </cell>
          <cell r="D82" t="str">
            <v>SAN CRISTOBAL</v>
          </cell>
          <cell r="E82" t="str">
            <v>001311</v>
          </cell>
          <cell r="F82" t="str">
            <v>LA GLORIA OCCIDENTAL</v>
          </cell>
        </row>
        <row r="83">
          <cell r="B83" t="str">
            <v>001312</v>
          </cell>
          <cell r="C83">
            <v>4</v>
          </cell>
          <cell r="D83" t="str">
            <v>SAN CRISTOBAL</v>
          </cell>
          <cell r="E83" t="str">
            <v>001312</v>
          </cell>
          <cell r="F83" t="str">
            <v>LOS ALPES</v>
          </cell>
        </row>
        <row r="84">
          <cell r="B84" t="str">
            <v>001313</v>
          </cell>
          <cell r="C84">
            <v>4</v>
          </cell>
          <cell r="D84" t="str">
            <v>SAN CRISTOBAL</v>
          </cell>
          <cell r="E84" t="str">
            <v>001313</v>
          </cell>
          <cell r="F84" t="str">
            <v>BELLAVISTA SUR</v>
          </cell>
        </row>
        <row r="85">
          <cell r="B85" t="str">
            <v>001314</v>
          </cell>
          <cell r="C85">
            <v>4</v>
          </cell>
          <cell r="D85" t="str">
            <v>SAN CRISTOBAL</v>
          </cell>
          <cell r="E85" t="str">
            <v>001314</v>
          </cell>
          <cell r="F85" t="str">
            <v>SAN JOSE SUR ORIENTAL</v>
          </cell>
        </row>
        <row r="86">
          <cell r="B86" t="str">
            <v>001315</v>
          </cell>
          <cell r="C86">
            <v>4</v>
          </cell>
          <cell r="D86" t="str">
            <v>SAN CRISTOBAL</v>
          </cell>
          <cell r="E86" t="str">
            <v>001315</v>
          </cell>
          <cell r="F86" t="str">
            <v>ALTAMIRA</v>
          </cell>
        </row>
        <row r="87">
          <cell r="B87" t="str">
            <v>001316</v>
          </cell>
          <cell r="C87">
            <v>4</v>
          </cell>
          <cell r="D87" t="str">
            <v>SAN CRISTOBAL</v>
          </cell>
          <cell r="E87" t="str">
            <v>001316</v>
          </cell>
          <cell r="F87" t="str">
            <v>MORALBA</v>
          </cell>
        </row>
        <row r="88">
          <cell r="B88" t="str">
            <v>001317</v>
          </cell>
          <cell r="C88">
            <v>4</v>
          </cell>
          <cell r="D88" t="str">
            <v>SAN CRISTOBAL</v>
          </cell>
          <cell r="E88" t="str">
            <v>001317</v>
          </cell>
          <cell r="F88" t="str">
            <v>PUENTE COLORADO</v>
          </cell>
        </row>
        <row r="89">
          <cell r="B89" t="str">
            <v>001318</v>
          </cell>
          <cell r="C89">
            <v>4</v>
          </cell>
          <cell r="D89" t="str">
            <v>SAN CRISTOBAL</v>
          </cell>
          <cell r="E89" t="str">
            <v>001318</v>
          </cell>
          <cell r="F89" t="str">
            <v>QUINDIO</v>
          </cell>
        </row>
        <row r="90">
          <cell r="B90" t="str">
            <v>001319</v>
          </cell>
          <cell r="C90">
            <v>4</v>
          </cell>
          <cell r="D90" t="str">
            <v>SAN CRISTOBAL</v>
          </cell>
          <cell r="E90" t="str">
            <v>001319</v>
          </cell>
          <cell r="F90" t="str">
            <v>LA GLORIA ORIENTAL</v>
          </cell>
        </row>
        <row r="91">
          <cell r="B91" t="str">
            <v>001320</v>
          </cell>
          <cell r="C91">
            <v>4</v>
          </cell>
          <cell r="D91" t="str">
            <v>SAN CRISTOBAL</v>
          </cell>
          <cell r="E91" t="str">
            <v>001320</v>
          </cell>
          <cell r="F91" t="str">
            <v>NUEVA GLORIA</v>
          </cell>
        </row>
        <row r="92">
          <cell r="B92" t="str">
            <v>001321</v>
          </cell>
          <cell r="C92">
            <v>4</v>
          </cell>
          <cell r="D92" t="str">
            <v>SAN CRISTOBAL</v>
          </cell>
          <cell r="E92" t="str">
            <v>001321</v>
          </cell>
          <cell r="F92" t="str">
            <v>SAN MARTIN SUR</v>
          </cell>
        </row>
        <row r="93">
          <cell r="B93" t="str">
            <v>001322</v>
          </cell>
          <cell r="C93">
            <v>4</v>
          </cell>
          <cell r="D93" t="str">
            <v>SAN CRISTOBAL</v>
          </cell>
          <cell r="E93" t="str">
            <v>001322</v>
          </cell>
          <cell r="F93" t="str">
            <v>SAN RAFAEL USME</v>
          </cell>
        </row>
        <row r="94">
          <cell r="B94" t="str">
            <v>001323</v>
          </cell>
          <cell r="C94">
            <v>4</v>
          </cell>
          <cell r="D94" t="str">
            <v>SAN CRISTOBAL</v>
          </cell>
          <cell r="E94" t="str">
            <v>001323</v>
          </cell>
          <cell r="F94" t="str">
            <v>NUEVA DELHI</v>
          </cell>
        </row>
        <row r="95">
          <cell r="B95" t="str">
            <v>001324</v>
          </cell>
          <cell r="C95">
            <v>4</v>
          </cell>
          <cell r="D95" t="str">
            <v>SAN CRISTOBAL</v>
          </cell>
          <cell r="E95" t="str">
            <v>001324</v>
          </cell>
          <cell r="F95" t="str">
            <v>EL PINAR</v>
          </cell>
        </row>
        <row r="96">
          <cell r="B96" t="str">
            <v>001325</v>
          </cell>
          <cell r="C96">
            <v>4</v>
          </cell>
          <cell r="D96" t="str">
            <v>SAN CRISTOBAL</v>
          </cell>
          <cell r="E96" t="str">
            <v>001325</v>
          </cell>
          <cell r="F96" t="str">
            <v>JUAN REY (LA PAZ)</v>
          </cell>
        </row>
        <row r="97">
          <cell r="B97" t="str">
            <v>001327</v>
          </cell>
          <cell r="C97">
            <v>4</v>
          </cell>
          <cell r="D97" t="str">
            <v>SAN CRISTOBAL</v>
          </cell>
          <cell r="E97" t="str">
            <v>001327</v>
          </cell>
          <cell r="F97" t="str">
            <v>LOS LIBERTADORES</v>
          </cell>
        </row>
        <row r="98">
          <cell r="B98" t="str">
            <v>001328</v>
          </cell>
          <cell r="C98">
            <v>4</v>
          </cell>
          <cell r="D98" t="str">
            <v>SAN CRISTOBAL</v>
          </cell>
          <cell r="E98" t="str">
            <v>001328</v>
          </cell>
          <cell r="F98" t="str">
            <v>SANTA RITA SUR ORIENTAL</v>
          </cell>
        </row>
        <row r="99">
          <cell r="B99" t="str">
            <v>001329</v>
          </cell>
          <cell r="C99">
            <v>4</v>
          </cell>
          <cell r="D99" t="str">
            <v>SAN CRISTOBAL</v>
          </cell>
          <cell r="E99" t="str">
            <v>001329</v>
          </cell>
          <cell r="F99" t="str">
            <v>EL PARAISO</v>
          </cell>
        </row>
        <row r="100">
          <cell r="B100" t="str">
            <v>001330</v>
          </cell>
          <cell r="C100">
            <v>4</v>
          </cell>
          <cell r="D100" t="str">
            <v>SAN CRISTOBAL</v>
          </cell>
          <cell r="E100" t="str">
            <v>001330</v>
          </cell>
          <cell r="F100" t="str">
            <v>CANADA O GUIRA</v>
          </cell>
        </row>
        <row r="101">
          <cell r="B101" t="str">
            <v>001331</v>
          </cell>
          <cell r="C101">
            <v>4</v>
          </cell>
          <cell r="D101" t="str">
            <v>SAN CRISTOBAL</v>
          </cell>
          <cell r="E101" t="str">
            <v>001331</v>
          </cell>
          <cell r="F101" t="str">
            <v>ALTOS DEL ZUQUE</v>
          </cell>
        </row>
        <row r="102">
          <cell r="B102" t="str">
            <v>001332</v>
          </cell>
          <cell r="C102">
            <v>4</v>
          </cell>
          <cell r="D102" t="str">
            <v>SAN CRISTOBAL</v>
          </cell>
          <cell r="E102" t="str">
            <v>001332</v>
          </cell>
          <cell r="F102" t="str">
            <v>VILLABEL</v>
          </cell>
        </row>
        <row r="103">
          <cell r="B103" t="str">
            <v>001333</v>
          </cell>
          <cell r="C103">
            <v>4</v>
          </cell>
          <cell r="D103" t="str">
            <v>SAN CRISTOBAL</v>
          </cell>
          <cell r="E103" t="str">
            <v>001333</v>
          </cell>
          <cell r="F103" t="str">
            <v>ALTOS DEL POBLADO</v>
          </cell>
        </row>
        <row r="104">
          <cell r="B104" t="str">
            <v>001334</v>
          </cell>
          <cell r="C104">
            <v>4</v>
          </cell>
          <cell r="D104" t="str">
            <v>SAN CRISTOBAL</v>
          </cell>
          <cell r="E104" t="str">
            <v>001334</v>
          </cell>
          <cell r="F104" t="str">
            <v>LAS GAVIOTAS</v>
          </cell>
        </row>
        <row r="105">
          <cell r="B105" t="str">
            <v>001335</v>
          </cell>
          <cell r="C105">
            <v>5</v>
          </cell>
          <cell r="D105" t="str">
            <v>USME</v>
          </cell>
          <cell r="E105" t="str">
            <v>001335</v>
          </cell>
          <cell r="F105" t="str">
            <v>VILLA DIANA</v>
          </cell>
        </row>
        <row r="106">
          <cell r="B106" t="str">
            <v>001336</v>
          </cell>
          <cell r="C106">
            <v>5</v>
          </cell>
          <cell r="D106" t="str">
            <v>USME</v>
          </cell>
          <cell r="E106" t="str">
            <v>001336</v>
          </cell>
          <cell r="F106" t="str">
            <v>JUAN JOSE RONDON I</v>
          </cell>
        </row>
        <row r="107">
          <cell r="B107" t="str">
            <v>001337</v>
          </cell>
          <cell r="C107">
            <v>5</v>
          </cell>
          <cell r="D107" t="str">
            <v>USME</v>
          </cell>
          <cell r="E107" t="str">
            <v>001337</v>
          </cell>
          <cell r="F107" t="str">
            <v>SAN PEDRO SUR</v>
          </cell>
        </row>
        <row r="108">
          <cell r="B108" t="str">
            <v>001338</v>
          </cell>
          <cell r="C108">
            <v>4</v>
          </cell>
          <cell r="D108" t="str">
            <v>SAN CRISTOBAL</v>
          </cell>
          <cell r="E108" t="str">
            <v>001338</v>
          </cell>
          <cell r="F108" t="str">
            <v>LA BELLEZA</v>
          </cell>
        </row>
        <row r="109">
          <cell r="B109" t="str">
            <v>001339</v>
          </cell>
          <cell r="C109">
            <v>4</v>
          </cell>
          <cell r="D109" t="str">
            <v>SAN CRISTOBAL</v>
          </cell>
          <cell r="E109" t="str">
            <v>001339</v>
          </cell>
          <cell r="F109" t="str">
            <v>BOSQUE DE LOS ALPES</v>
          </cell>
        </row>
        <row r="110">
          <cell r="B110" t="str">
            <v>001340</v>
          </cell>
          <cell r="C110">
            <v>5</v>
          </cell>
          <cell r="D110" t="str">
            <v>USME</v>
          </cell>
          <cell r="E110" t="str">
            <v>001340</v>
          </cell>
          <cell r="F110" t="str">
            <v>TIHUAQUE</v>
          </cell>
        </row>
        <row r="111">
          <cell r="B111" t="str">
            <v>001342</v>
          </cell>
          <cell r="C111">
            <v>4</v>
          </cell>
          <cell r="D111" t="str">
            <v>SAN CRISTOBAL</v>
          </cell>
          <cell r="E111" t="str">
            <v>001342</v>
          </cell>
          <cell r="F111" t="str">
            <v>ALTOS DEL ZIPA</v>
          </cell>
        </row>
        <row r="112">
          <cell r="B112" t="str">
            <v>001344</v>
          </cell>
          <cell r="C112">
            <v>5</v>
          </cell>
          <cell r="D112" t="str">
            <v>USME</v>
          </cell>
          <cell r="E112" t="str">
            <v>001344</v>
          </cell>
          <cell r="F112" t="str">
            <v>LOS SOCHES</v>
          </cell>
        </row>
        <row r="113">
          <cell r="B113" t="str">
            <v>001345</v>
          </cell>
          <cell r="C113">
            <v>5</v>
          </cell>
          <cell r="D113" t="str">
            <v>USME</v>
          </cell>
          <cell r="E113" t="str">
            <v>001345</v>
          </cell>
          <cell r="F113" t="str">
            <v>DONA LILIANA</v>
          </cell>
        </row>
        <row r="114">
          <cell r="B114" t="str">
            <v>001346</v>
          </cell>
          <cell r="C114">
            <v>5</v>
          </cell>
          <cell r="D114" t="str">
            <v>USME</v>
          </cell>
          <cell r="E114" t="str">
            <v>001346</v>
          </cell>
          <cell r="F114" t="str">
            <v>CIUDAD LONDRES I</v>
          </cell>
        </row>
        <row r="115">
          <cell r="B115" t="str">
            <v>001347</v>
          </cell>
          <cell r="C115">
            <v>5</v>
          </cell>
          <cell r="D115" t="str">
            <v>USME</v>
          </cell>
          <cell r="E115" t="str">
            <v>001347</v>
          </cell>
          <cell r="F115" t="str">
            <v>JUAN REY SUR</v>
          </cell>
        </row>
        <row r="116">
          <cell r="B116" t="str">
            <v>001348</v>
          </cell>
          <cell r="C116">
            <v>5</v>
          </cell>
          <cell r="D116" t="str">
            <v>USME</v>
          </cell>
          <cell r="E116" t="str">
            <v>001348</v>
          </cell>
          <cell r="F116" t="str">
            <v>LA CABANA</v>
          </cell>
        </row>
        <row r="117">
          <cell r="B117" t="str">
            <v>001349</v>
          </cell>
          <cell r="C117">
            <v>5</v>
          </cell>
          <cell r="D117" t="str">
            <v>USME</v>
          </cell>
          <cell r="E117" t="str">
            <v>001349</v>
          </cell>
          <cell r="F117" t="str">
            <v>CIUDAD LONDRES</v>
          </cell>
        </row>
        <row r="118">
          <cell r="B118" t="str">
            <v>001350</v>
          </cell>
          <cell r="C118">
            <v>4</v>
          </cell>
          <cell r="D118" t="str">
            <v>SAN CRISTOBAL</v>
          </cell>
          <cell r="E118" t="str">
            <v>001350</v>
          </cell>
          <cell r="F118" t="str">
            <v>YOMASA</v>
          </cell>
        </row>
        <row r="119">
          <cell r="B119" t="str">
            <v>001352</v>
          </cell>
          <cell r="C119">
            <v>4</v>
          </cell>
          <cell r="D119" t="str">
            <v>SAN CRISTOBAL</v>
          </cell>
          <cell r="E119" t="str">
            <v>001352</v>
          </cell>
          <cell r="F119" t="str">
            <v>LAS GUACAMAYAS II</v>
          </cell>
        </row>
        <row r="120">
          <cell r="B120" t="str">
            <v>001353</v>
          </cell>
          <cell r="C120">
            <v>4</v>
          </cell>
          <cell r="D120" t="str">
            <v>SAN CRISTOBAL</v>
          </cell>
          <cell r="E120" t="str">
            <v>001353</v>
          </cell>
          <cell r="F120" t="str">
            <v>LAS GUACAMAYAS IV</v>
          </cell>
        </row>
        <row r="121">
          <cell r="B121" t="str">
            <v>001354</v>
          </cell>
          <cell r="C121">
            <v>4</v>
          </cell>
          <cell r="D121" t="str">
            <v>SAN CRISTOBAL</v>
          </cell>
          <cell r="E121" t="str">
            <v>001354</v>
          </cell>
          <cell r="F121" t="str">
            <v>LAS GUACAMAYAS III</v>
          </cell>
        </row>
        <row r="122">
          <cell r="B122" t="str">
            <v>001355</v>
          </cell>
          <cell r="C122">
            <v>4</v>
          </cell>
          <cell r="D122" t="str">
            <v>SAN CRISTOBAL</v>
          </cell>
          <cell r="E122" t="str">
            <v>001355</v>
          </cell>
          <cell r="F122" t="str">
            <v>LAS GUACAMAYAS I</v>
          </cell>
        </row>
        <row r="123">
          <cell r="B123" t="str">
            <v>001356</v>
          </cell>
          <cell r="C123">
            <v>4</v>
          </cell>
          <cell r="D123" t="str">
            <v>SAN CRISTOBAL</v>
          </cell>
          <cell r="E123" t="str">
            <v>001356</v>
          </cell>
          <cell r="F123" t="str">
            <v>VILLA DEL CERRO</v>
          </cell>
        </row>
        <row r="124">
          <cell r="B124" t="str">
            <v>001357</v>
          </cell>
          <cell r="C124">
            <v>4</v>
          </cell>
          <cell r="D124" t="str">
            <v>SAN CRISTOBAL</v>
          </cell>
          <cell r="E124" t="str">
            <v>001357</v>
          </cell>
          <cell r="F124" t="str">
            <v>SANTA INES SUR II</v>
          </cell>
        </row>
        <row r="125">
          <cell r="B125" t="str">
            <v>001358</v>
          </cell>
          <cell r="C125">
            <v>4</v>
          </cell>
          <cell r="D125" t="str">
            <v>SAN CRISTOBAL</v>
          </cell>
          <cell r="E125" t="str">
            <v>001358</v>
          </cell>
          <cell r="F125" t="str">
            <v>CHIGUAZA URBANO</v>
          </cell>
        </row>
        <row r="126">
          <cell r="B126" t="str">
            <v>001362</v>
          </cell>
          <cell r="C126">
            <v>4</v>
          </cell>
          <cell r="D126" t="str">
            <v>SAN CRISTOBAL</v>
          </cell>
          <cell r="E126" t="str">
            <v>001362</v>
          </cell>
          <cell r="F126" t="str">
            <v>ARBOLEDA SANTA TERESITA</v>
          </cell>
        </row>
        <row r="127">
          <cell r="B127" t="str">
            <v>001401</v>
          </cell>
          <cell r="C127">
            <v>18</v>
          </cell>
          <cell r="D127" t="str">
            <v>RAFAEL URIBE URIBE</v>
          </cell>
          <cell r="E127" t="str">
            <v>001401</v>
          </cell>
          <cell r="F127" t="str">
            <v>SAN JOSE SUR</v>
          </cell>
        </row>
        <row r="128">
          <cell r="B128" t="str">
            <v>001402</v>
          </cell>
          <cell r="C128">
            <v>18</v>
          </cell>
          <cell r="D128" t="str">
            <v>RAFAEL URIBE URIBE</v>
          </cell>
          <cell r="E128" t="str">
            <v>001402</v>
          </cell>
          <cell r="F128" t="str">
            <v>GUSTAVO RESTREPO</v>
          </cell>
        </row>
        <row r="129">
          <cell r="B129" t="str">
            <v>001403</v>
          </cell>
          <cell r="C129">
            <v>18</v>
          </cell>
          <cell r="D129" t="str">
            <v>RAFAEL URIBE URIBE</v>
          </cell>
          <cell r="E129" t="str">
            <v>001403</v>
          </cell>
          <cell r="F129" t="str">
            <v>HOSPITAL SAN CARLOS</v>
          </cell>
        </row>
        <row r="130">
          <cell r="B130" t="str">
            <v>001404</v>
          </cell>
          <cell r="C130">
            <v>18</v>
          </cell>
          <cell r="D130" t="str">
            <v>RAFAEL URIBE URIBE</v>
          </cell>
          <cell r="E130" t="str">
            <v>001404</v>
          </cell>
          <cell r="F130" t="str">
            <v>SOSIEGO SUR</v>
          </cell>
        </row>
        <row r="131">
          <cell r="B131" t="str">
            <v>001405</v>
          </cell>
          <cell r="C131">
            <v>4</v>
          </cell>
          <cell r="D131" t="str">
            <v>SAN CRISTOBAL</v>
          </cell>
          <cell r="E131" t="str">
            <v>001405</v>
          </cell>
          <cell r="F131" t="str">
            <v>VEINTE DE JULIO</v>
          </cell>
        </row>
        <row r="132">
          <cell r="B132" t="str">
            <v>001406</v>
          </cell>
          <cell r="C132">
            <v>4</v>
          </cell>
          <cell r="D132" t="str">
            <v>SAN CRISTOBAL</v>
          </cell>
          <cell r="E132" t="str">
            <v>001406</v>
          </cell>
          <cell r="F132" t="str">
            <v>SAN ISIDRO</v>
          </cell>
        </row>
        <row r="133">
          <cell r="B133" t="str">
            <v>001407</v>
          </cell>
          <cell r="C133">
            <v>4</v>
          </cell>
          <cell r="D133" t="str">
            <v>SAN CRISTOBAL</v>
          </cell>
          <cell r="E133" t="str">
            <v>001407</v>
          </cell>
          <cell r="F133" t="str">
            <v>SURAMERICA</v>
          </cell>
        </row>
        <row r="134">
          <cell r="B134" t="str">
            <v>001408</v>
          </cell>
          <cell r="C134">
            <v>4</v>
          </cell>
          <cell r="D134" t="str">
            <v>SAN CRISTOBAL</v>
          </cell>
          <cell r="E134" t="str">
            <v>001408</v>
          </cell>
          <cell r="F134" t="str">
            <v>VILLA DE LOS ALPES</v>
          </cell>
        </row>
        <row r="135">
          <cell r="B135" t="str">
            <v>001409</v>
          </cell>
          <cell r="C135">
            <v>4</v>
          </cell>
          <cell r="D135" t="str">
            <v>SAN CRISTOBAL</v>
          </cell>
          <cell r="E135" t="str">
            <v>001409</v>
          </cell>
          <cell r="F135" t="str">
            <v>LAS LOMAS</v>
          </cell>
        </row>
        <row r="136">
          <cell r="B136" t="str">
            <v>001410</v>
          </cell>
          <cell r="C136">
            <v>18</v>
          </cell>
          <cell r="D136" t="str">
            <v>RAFAEL URIBE URIBE</v>
          </cell>
          <cell r="E136" t="str">
            <v>001410</v>
          </cell>
          <cell r="F136" t="str">
            <v>MARCO FIDEL SUAREZ</v>
          </cell>
        </row>
        <row r="137">
          <cell r="B137" t="str">
            <v>001411</v>
          </cell>
          <cell r="C137">
            <v>18</v>
          </cell>
          <cell r="D137" t="str">
            <v>RAFAEL URIBE URIBE</v>
          </cell>
          <cell r="E137" t="str">
            <v>001411</v>
          </cell>
          <cell r="F137" t="str">
            <v>SAN JORGE SUR</v>
          </cell>
        </row>
        <row r="138">
          <cell r="B138" t="str">
            <v>001412</v>
          </cell>
          <cell r="C138">
            <v>18</v>
          </cell>
          <cell r="D138" t="str">
            <v>RAFAEL URIBE URIBE</v>
          </cell>
          <cell r="E138" t="str">
            <v>001412</v>
          </cell>
          <cell r="F138" t="str">
            <v>GRANJAS SAN PABLO</v>
          </cell>
        </row>
        <row r="139">
          <cell r="B139" t="str">
            <v>001413</v>
          </cell>
          <cell r="C139">
            <v>18</v>
          </cell>
          <cell r="D139" t="str">
            <v>RAFAEL URIBE URIBE</v>
          </cell>
          <cell r="E139" t="str">
            <v>001413</v>
          </cell>
          <cell r="F139" t="str">
            <v>LA RESURRECCION</v>
          </cell>
        </row>
        <row r="140">
          <cell r="B140" t="str">
            <v>001414</v>
          </cell>
          <cell r="C140">
            <v>18</v>
          </cell>
          <cell r="D140" t="str">
            <v>RAFAEL URIBE URIBE</v>
          </cell>
          <cell r="E140" t="str">
            <v>001414</v>
          </cell>
          <cell r="F140" t="str">
            <v>MOLINOS DEL SUR</v>
          </cell>
        </row>
        <row r="141">
          <cell r="B141" t="str">
            <v>001415</v>
          </cell>
          <cell r="C141">
            <v>18</v>
          </cell>
          <cell r="D141" t="str">
            <v>RAFAEL URIBE URIBE</v>
          </cell>
          <cell r="E141" t="str">
            <v>001415</v>
          </cell>
          <cell r="F141" t="str">
            <v>MARCO FIDEL SUAREZ I</v>
          </cell>
        </row>
        <row r="142">
          <cell r="B142" t="str">
            <v>001416</v>
          </cell>
          <cell r="C142">
            <v>18</v>
          </cell>
          <cell r="D142" t="str">
            <v>RAFAEL URIBE URIBE</v>
          </cell>
          <cell r="E142" t="str">
            <v>001416</v>
          </cell>
          <cell r="F142" t="str">
            <v>SAN AGUSTIN</v>
          </cell>
        </row>
        <row r="143">
          <cell r="B143" t="str">
            <v>001417</v>
          </cell>
          <cell r="C143">
            <v>18</v>
          </cell>
          <cell r="D143" t="str">
            <v>RAFAEL URIBE URIBE</v>
          </cell>
          <cell r="E143" t="str">
            <v>001417</v>
          </cell>
          <cell r="F143" t="str">
            <v>LOS MOLINOS</v>
          </cell>
        </row>
        <row r="144">
          <cell r="B144" t="str">
            <v>001418</v>
          </cell>
          <cell r="C144">
            <v>18</v>
          </cell>
          <cell r="D144" t="str">
            <v>RAFAEL URIBE URIBE</v>
          </cell>
          <cell r="E144" t="str">
            <v>001418</v>
          </cell>
          <cell r="F144" t="str">
            <v>MARRUECOS</v>
          </cell>
        </row>
        <row r="145">
          <cell r="B145" t="str">
            <v>001419</v>
          </cell>
          <cell r="C145">
            <v>18</v>
          </cell>
          <cell r="D145" t="str">
            <v>RAFAEL URIBE URIBE</v>
          </cell>
          <cell r="E145" t="str">
            <v>001419</v>
          </cell>
          <cell r="F145" t="str">
            <v>CALLEJON SANTA BARBARA</v>
          </cell>
        </row>
        <row r="146">
          <cell r="B146" t="str">
            <v>001420</v>
          </cell>
          <cell r="C146">
            <v>18</v>
          </cell>
          <cell r="D146" t="str">
            <v>RAFAEL URIBE URIBE</v>
          </cell>
          <cell r="E146" t="str">
            <v>001420</v>
          </cell>
          <cell r="F146" t="str">
            <v>EL PLAYON</v>
          </cell>
        </row>
        <row r="147">
          <cell r="B147" t="str">
            <v>001421</v>
          </cell>
          <cell r="C147">
            <v>18</v>
          </cell>
          <cell r="D147" t="str">
            <v>RAFAEL URIBE URIBE</v>
          </cell>
          <cell r="E147" t="str">
            <v>001421</v>
          </cell>
          <cell r="F147" t="str">
            <v>DIANA TURBAY</v>
          </cell>
        </row>
        <row r="148">
          <cell r="B148" t="str">
            <v>001422</v>
          </cell>
          <cell r="C148">
            <v>18</v>
          </cell>
          <cell r="D148" t="str">
            <v>RAFAEL URIBE URIBE</v>
          </cell>
          <cell r="E148" t="str">
            <v>001422</v>
          </cell>
          <cell r="F148" t="str">
            <v>DIANA TURBAY ARRAYANES</v>
          </cell>
        </row>
        <row r="149">
          <cell r="B149" t="str">
            <v>001423</v>
          </cell>
          <cell r="C149">
            <v>18</v>
          </cell>
          <cell r="D149" t="str">
            <v>RAFAEL URIBE URIBE</v>
          </cell>
          <cell r="E149" t="str">
            <v>001423</v>
          </cell>
          <cell r="F149" t="str">
            <v>ARBOLEDA SUR</v>
          </cell>
        </row>
        <row r="150">
          <cell r="B150" t="str">
            <v>001424</v>
          </cell>
          <cell r="C150">
            <v>4</v>
          </cell>
          <cell r="D150" t="str">
            <v>SAN CRISTOBAL</v>
          </cell>
          <cell r="E150" t="str">
            <v>001424</v>
          </cell>
          <cell r="F150" t="str">
            <v>BARCELONA SUR</v>
          </cell>
        </row>
        <row r="151">
          <cell r="B151" t="str">
            <v>001425</v>
          </cell>
          <cell r="C151">
            <v>18</v>
          </cell>
          <cell r="D151" t="str">
            <v>RAFAEL URIBE URIBE</v>
          </cell>
          <cell r="E151" t="str">
            <v>001425</v>
          </cell>
          <cell r="F151" t="str">
            <v>GRANJAS DE SANTA SOFIA</v>
          </cell>
        </row>
        <row r="152">
          <cell r="B152" t="str">
            <v>001426</v>
          </cell>
          <cell r="C152">
            <v>18</v>
          </cell>
          <cell r="D152" t="str">
            <v>RAFAEL URIBE URIBE</v>
          </cell>
          <cell r="E152" t="str">
            <v>001426</v>
          </cell>
          <cell r="F152" t="str">
            <v>SAN LUIS</v>
          </cell>
        </row>
        <row r="153">
          <cell r="B153" t="str">
            <v>001427</v>
          </cell>
          <cell r="C153">
            <v>18</v>
          </cell>
          <cell r="D153" t="str">
            <v>RAFAEL URIBE URIBE</v>
          </cell>
          <cell r="E153" t="str">
            <v>001427</v>
          </cell>
          <cell r="F153" t="str">
            <v>PUERTO RICO</v>
          </cell>
        </row>
        <row r="154">
          <cell r="B154" t="str">
            <v>001428</v>
          </cell>
          <cell r="C154">
            <v>18</v>
          </cell>
          <cell r="D154" t="str">
            <v>RAFAEL URIBE URIBE</v>
          </cell>
          <cell r="E154" t="str">
            <v>001428</v>
          </cell>
          <cell r="F154" t="str">
            <v>CERROS DE ORIENTE</v>
          </cell>
        </row>
        <row r="155">
          <cell r="B155" t="str">
            <v>001429</v>
          </cell>
          <cell r="C155">
            <v>18</v>
          </cell>
          <cell r="D155" t="str">
            <v>RAFAEL URIBE URIBE</v>
          </cell>
          <cell r="E155" t="str">
            <v>001429</v>
          </cell>
          <cell r="F155" t="str">
            <v>GUIPARMA</v>
          </cell>
        </row>
        <row r="156">
          <cell r="B156" t="str">
            <v>001430</v>
          </cell>
          <cell r="C156">
            <v>4</v>
          </cell>
          <cell r="D156" t="str">
            <v>SAN CRISTOBAL</v>
          </cell>
          <cell r="E156" t="str">
            <v>001430</v>
          </cell>
          <cell r="F156" t="str">
            <v>VILLA DE LOS ALPES I</v>
          </cell>
        </row>
        <row r="157">
          <cell r="B157" t="str">
            <v>001431</v>
          </cell>
          <cell r="C157">
            <v>18</v>
          </cell>
          <cell r="D157" t="str">
            <v>RAFAEL URIBE URIBE</v>
          </cell>
          <cell r="E157" t="str">
            <v>001431</v>
          </cell>
          <cell r="F157" t="str">
            <v>LA RESURRECCION I</v>
          </cell>
        </row>
        <row r="158">
          <cell r="B158" t="str">
            <v>001432</v>
          </cell>
          <cell r="C158">
            <v>18</v>
          </cell>
          <cell r="D158" t="str">
            <v>RAFAEL URIBE URIBE</v>
          </cell>
          <cell r="E158" t="str">
            <v>001432</v>
          </cell>
          <cell r="F158" t="str">
            <v>DIANA TURBAY CULTIVOS</v>
          </cell>
        </row>
        <row r="159">
          <cell r="B159" t="str">
            <v>001434</v>
          </cell>
          <cell r="C159">
            <v>18</v>
          </cell>
          <cell r="D159" t="str">
            <v>RAFAEL URIBE URIBE</v>
          </cell>
          <cell r="E159" t="str">
            <v>001434</v>
          </cell>
          <cell r="F159" t="str">
            <v>CARMEN DEL SOL</v>
          </cell>
        </row>
        <row r="160">
          <cell r="B160" t="str">
            <v>001435</v>
          </cell>
          <cell r="C160">
            <v>18</v>
          </cell>
          <cell r="D160" t="str">
            <v>RAFAEL URIBE URIBE</v>
          </cell>
          <cell r="E160" t="str">
            <v>001435</v>
          </cell>
          <cell r="F160" t="str">
            <v>LOS ARRAYANES II</v>
          </cell>
        </row>
        <row r="161">
          <cell r="B161" t="str">
            <v>002101</v>
          </cell>
          <cell r="C161">
            <v>15</v>
          </cell>
          <cell r="D161" t="str">
            <v>ANTONIO NARINO</v>
          </cell>
          <cell r="E161" t="str">
            <v>002101</v>
          </cell>
          <cell r="F161" t="str">
            <v>LA FRAGUITA</v>
          </cell>
        </row>
        <row r="162">
          <cell r="B162" t="str">
            <v>002102</v>
          </cell>
          <cell r="C162">
            <v>15</v>
          </cell>
          <cell r="D162" t="str">
            <v>ANTONIO NARINO</v>
          </cell>
          <cell r="E162" t="str">
            <v>002102</v>
          </cell>
          <cell r="F162" t="str">
            <v>SAN ANTONIO</v>
          </cell>
        </row>
        <row r="163">
          <cell r="B163" t="str">
            <v>002103</v>
          </cell>
          <cell r="C163">
            <v>15</v>
          </cell>
          <cell r="D163" t="str">
            <v>ANTONIO NARINO</v>
          </cell>
          <cell r="E163" t="str">
            <v>002103</v>
          </cell>
          <cell r="F163" t="str">
            <v>RESTREPO</v>
          </cell>
        </row>
        <row r="164">
          <cell r="B164" t="str">
            <v>002104</v>
          </cell>
          <cell r="C164">
            <v>15</v>
          </cell>
          <cell r="D164" t="str">
            <v>ANTONIO NARINO</v>
          </cell>
          <cell r="E164" t="str">
            <v>002104</v>
          </cell>
          <cell r="F164" t="str">
            <v>RESTREPO OCCIDENTAL</v>
          </cell>
        </row>
        <row r="165">
          <cell r="B165" t="str">
            <v>002105</v>
          </cell>
          <cell r="C165">
            <v>15</v>
          </cell>
          <cell r="D165" t="str">
            <v>ANTONIO NARINO</v>
          </cell>
          <cell r="E165" t="str">
            <v>002105</v>
          </cell>
          <cell r="F165" t="str">
            <v>SANTANDER</v>
          </cell>
        </row>
        <row r="166">
          <cell r="B166" t="str">
            <v>002106</v>
          </cell>
          <cell r="C166">
            <v>15</v>
          </cell>
          <cell r="D166" t="str">
            <v>ANTONIO NARINO</v>
          </cell>
          <cell r="E166" t="str">
            <v>002106</v>
          </cell>
          <cell r="F166" t="str">
            <v>SENA</v>
          </cell>
        </row>
        <row r="167">
          <cell r="B167" t="str">
            <v>002107</v>
          </cell>
          <cell r="C167">
            <v>15</v>
          </cell>
          <cell r="D167" t="str">
            <v>ANTONIO NARINO</v>
          </cell>
          <cell r="E167" t="str">
            <v>002107</v>
          </cell>
          <cell r="F167" t="str">
            <v>LA FRAGUA</v>
          </cell>
        </row>
        <row r="168">
          <cell r="B168" t="str">
            <v>002201</v>
          </cell>
          <cell r="C168">
            <v>18</v>
          </cell>
          <cell r="D168" t="str">
            <v>RAFAEL URIBE URIBE</v>
          </cell>
          <cell r="E168" t="str">
            <v>002201</v>
          </cell>
          <cell r="F168" t="str">
            <v>OLAYA</v>
          </cell>
        </row>
        <row r="169">
          <cell r="B169" t="str">
            <v>002202</v>
          </cell>
          <cell r="C169">
            <v>18</v>
          </cell>
          <cell r="D169" t="str">
            <v>RAFAEL URIBE URIBE</v>
          </cell>
          <cell r="E169" t="str">
            <v>002202</v>
          </cell>
          <cell r="F169" t="str">
            <v>QUIROGA</v>
          </cell>
        </row>
        <row r="170">
          <cell r="B170" t="str">
            <v>002203</v>
          </cell>
          <cell r="C170">
            <v>18</v>
          </cell>
          <cell r="D170" t="str">
            <v>RAFAEL URIBE URIBE</v>
          </cell>
          <cell r="E170" t="str">
            <v>002203</v>
          </cell>
          <cell r="F170" t="str">
            <v>QUIROGA CENTRAL</v>
          </cell>
        </row>
        <row r="171">
          <cell r="B171" t="str">
            <v>002204</v>
          </cell>
          <cell r="C171">
            <v>18</v>
          </cell>
          <cell r="D171" t="str">
            <v>RAFAEL URIBE URIBE</v>
          </cell>
          <cell r="E171" t="str">
            <v>002204</v>
          </cell>
          <cell r="F171" t="str">
            <v>QUIROGA SUR</v>
          </cell>
        </row>
        <row r="172">
          <cell r="B172" t="str">
            <v>002205</v>
          </cell>
          <cell r="C172">
            <v>18</v>
          </cell>
          <cell r="D172" t="str">
            <v>RAFAEL URIBE URIBE</v>
          </cell>
          <cell r="E172" t="str">
            <v>002205</v>
          </cell>
          <cell r="F172" t="str">
            <v>SANTA LUCIA</v>
          </cell>
        </row>
        <row r="173">
          <cell r="B173" t="str">
            <v>002209</v>
          </cell>
          <cell r="C173">
            <v>18</v>
          </cell>
          <cell r="D173" t="str">
            <v>RAFAEL URIBE URIBE</v>
          </cell>
          <cell r="E173" t="str">
            <v>002209</v>
          </cell>
          <cell r="F173" t="str">
            <v>QUIROGA I</v>
          </cell>
        </row>
        <row r="174">
          <cell r="B174" t="str">
            <v>002301</v>
          </cell>
          <cell r="C174">
            <v>15</v>
          </cell>
          <cell r="D174" t="str">
            <v>ANTONIO NARINO</v>
          </cell>
          <cell r="E174" t="str">
            <v>002301</v>
          </cell>
          <cell r="F174" t="str">
            <v>EDUARDO FREY</v>
          </cell>
        </row>
        <row r="175">
          <cell r="B175" t="str">
            <v>002302</v>
          </cell>
          <cell r="C175">
            <v>15</v>
          </cell>
          <cell r="D175" t="str">
            <v>ANTONIO NARINO</v>
          </cell>
          <cell r="E175" t="str">
            <v>002302</v>
          </cell>
          <cell r="F175" t="str">
            <v>SANTANDER SUR</v>
          </cell>
        </row>
        <row r="176">
          <cell r="B176" t="str">
            <v>002303</v>
          </cell>
          <cell r="C176">
            <v>18</v>
          </cell>
          <cell r="D176" t="str">
            <v>RAFAEL URIBE URIBE</v>
          </cell>
          <cell r="E176" t="str">
            <v>002303</v>
          </cell>
          <cell r="F176" t="str">
            <v>CENTENARIO</v>
          </cell>
        </row>
        <row r="177">
          <cell r="B177" t="str">
            <v>002304</v>
          </cell>
          <cell r="C177">
            <v>18</v>
          </cell>
          <cell r="D177" t="str">
            <v>RAFAEL URIBE URIBE</v>
          </cell>
          <cell r="E177" t="str">
            <v>002304</v>
          </cell>
          <cell r="F177" t="str">
            <v>SANTIAGO PEREZ</v>
          </cell>
        </row>
        <row r="178">
          <cell r="B178" t="str">
            <v>002305</v>
          </cell>
          <cell r="C178">
            <v>18</v>
          </cell>
          <cell r="D178" t="str">
            <v>RAFAEL URIBE URIBE</v>
          </cell>
          <cell r="E178" t="str">
            <v>002305</v>
          </cell>
          <cell r="F178" t="str">
            <v>LIBERTADOR</v>
          </cell>
        </row>
        <row r="179">
          <cell r="B179" t="str">
            <v>002306</v>
          </cell>
          <cell r="C179">
            <v>18</v>
          </cell>
          <cell r="D179" t="str">
            <v>RAFAEL URIBE URIBE</v>
          </cell>
          <cell r="E179" t="str">
            <v>002306</v>
          </cell>
          <cell r="F179" t="str">
            <v>BRAVO PAEZ</v>
          </cell>
        </row>
        <row r="180">
          <cell r="B180" t="str">
            <v>002307</v>
          </cell>
          <cell r="C180">
            <v>18</v>
          </cell>
          <cell r="D180" t="str">
            <v>RAFAEL URIBE URIBE</v>
          </cell>
          <cell r="E180" t="str">
            <v>002307</v>
          </cell>
          <cell r="F180" t="str">
            <v>INGLES</v>
          </cell>
        </row>
        <row r="181">
          <cell r="B181" t="str">
            <v>002308</v>
          </cell>
          <cell r="C181">
            <v>18</v>
          </cell>
          <cell r="D181" t="str">
            <v>RAFAEL URIBE URIBE</v>
          </cell>
          <cell r="E181" t="str">
            <v>002308</v>
          </cell>
          <cell r="F181" t="str">
            <v>CLARET</v>
          </cell>
        </row>
        <row r="182">
          <cell r="B182" t="str">
            <v>002309</v>
          </cell>
          <cell r="C182">
            <v>15</v>
          </cell>
          <cell r="D182" t="str">
            <v>ANTONIO NARINO</v>
          </cell>
          <cell r="E182" t="str">
            <v>002309</v>
          </cell>
          <cell r="F182" t="str">
            <v>VILLA MAYOR ORIENTAL</v>
          </cell>
        </row>
        <row r="183">
          <cell r="B183" t="str">
            <v>002310</v>
          </cell>
          <cell r="C183">
            <v>18</v>
          </cell>
          <cell r="D183" t="str">
            <v>RAFAEL URIBE URIBE</v>
          </cell>
          <cell r="E183" t="str">
            <v>002310</v>
          </cell>
          <cell r="F183" t="str">
            <v>MURILLO TORO</v>
          </cell>
        </row>
        <row r="184">
          <cell r="B184" t="str">
            <v>002311</v>
          </cell>
          <cell r="C184">
            <v>18</v>
          </cell>
          <cell r="D184" t="str">
            <v>RAFAEL URIBE URIBE</v>
          </cell>
          <cell r="E184" t="str">
            <v>002311</v>
          </cell>
          <cell r="F184" t="str">
            <v>VILLA MAYOR</v>
          </cell>
        </row>
        <row r="185">
          <cell r="B185" t="str">
            <v>002401</v>
          </cell>
          <cell r="C185">
            <v>6</v>
          </cell>
          <cell r="D185" t="str">
            <v>TUNJUELITO</v>
          </cell>
          <cell r="E185" t="str">
            <v>002401</v>
          </cell>
          <cell r="F185" t="str">
            <v>TUNAL ORIENTAL</v>
          </cell>
        </row>
        <row r="186">
          <cell r="B186" t="str">
            <v>002402</v>
          </cell>
          <cell r="C186">
            <v>6</v>
          </cell>
          <cell r="D186" t="str">
            <v>TUNJUELITO</v>
          </cell>
          <cell r="E186" t="str">
            <v>002402</v>
          </cell>
          <cell r="F186" t="str">
            <v>SAN VICENTE FERRER</v>
          </cell>
        </row>
        <row r="187">
          <cell r="B187" t="str">
            <v>002403</v>
          </cell>
          <cell r="C187">
            <v>6</v>
          </cell>
          <cell r="D187" t="str">
            <v>TUNJUELITO</v>
          </cell>
          <cell r="E187" t="str">
            <v>002403</v>
          </cell>
          <cell r="F187" t="str">
            <v>VENECIA OCCIDENTAL</v>
          </cell>
        </row>
        <row r="188">
          <cell r="B188" t="str">
            <v>002404</v>
          </cell>
          <cell r="C188">
            <v>6</v>
          </cell>
          <cell r="D188" t="str">
            <v>TUNJUELITO</v>
          </cell>
          <cell r="E188" t="str">
            <v>002404</v>
          </cell>
          <cell r="F188" t="str">
            <v>VENECIA</v>
          </cell>
        </row>
        <row r="189">
          <cell r="B189" t="str">
            <v>002405</v>
          </cell>
          <cell r="C189">
            <v>6</v>
          </cell>
          <cell r="D189" t="str">
            <v>TUNJUELITO</v>
          </cell>
          <cell r="E189" t="str">
            <v>002405</v>
          </cell>
          <cell r="F189" t="str">
            <v>ESCUELA GENERAL SANTANDER</v>
          </cell>
        </row>
        <row r="190">
          <cell r="B190" t="str">
            <v>002406</v>
          </cell>
          <cell r="C190">
            <v>6</v>
          </cell>
          <cell r="D190" t="str">
            <v>TUNJUELITO</v>
          </cell>
          <cell r="E190" t="str">
            <v>002406</v>
          </cell>
          <cell r="F190" t="str">
            <v>SAMORE</v>
          </cell>
        </row>
        <row r="191">
          <cell r="B191" t="str">
            <v>002407</v>
          </cell>
          <cell r="C191">
            <v>6</v>
          </cell>
          <cell r="D191" t="str">
            <v>TUNJUELITO</v>
          </cell>
          <cell r="E191" t="str">
            <v>002407</v>
          </cell>
          <cell r="F191" t="str">
            <v>EL CARMEN</v>
          </cell>
        </row>
        <row r="192">
          <cell r="B192" t="str">
            <v>002408</v>
          </cell>
          <cell r="C192">
            <v>6</v>
          </cell>
          <cell r="D192" t="str">
            <v>TUNJUELITO</v>
          </cell>
          <cell r="E192" t="str">
            <v>002408</v>
          </cell>
          <cell r="F192" t="str">
            <v>FATIMA</v>
          </cell>
        </row>
        <row r="193">
          <cell r="B193" t="str">
            <v>002409</v>
          </cell>
          <cell r="C193">
            <v>6</v>
          </cell>
          <cell r="D193" t="str">
            <v>TUNJUELITO</v>
          </cell>
          <cell r="E193" t="str">
            <v>002409</v>
          </cell>
          <cell r="F193" t="str">
            <v>NUEVO MUZU</v>
          </cell>
        </row>
        <row r="194">
          <cell r="B194" t="str">
            <v>002410</v>
          </cell>
          <cell r="C194">
            <v>6</v>
          </cell>
          <cell r="D194" t="str">
            <v>TUNJUELITO</v>
          </cell>
          <cell r="E194" t="str">
            <v>002410</v>
          </cell>
          <cell r="F194" t="str">
            <v>PARQUE EL TUNAL</v>
          </cell>
        </row>
        <row r="195">
          <cell r="B195" t="str">
            <v>002411</v>
          </cell>
          <cell r="C195">
            <v>6</v>
          </cell>
          <cell r="D195" t="str">
            <v>TUNJUELITO</v>
          </cell>
          <cell r="E195" t="str">
            <v>002411</v>
          </cell>
          <cell r="F195" t="str">
            <v>ISLA DEL SOL</v>
          </cell>
        </row>
        <row r="196">
          <cell r="B196" t="str">
            <v>002412</v>
          </cell>
          <cell r="C196">
            <v>19</v>
          </cell>
          <cell r="D196" t="str">
            <v>CIUDAD BOLIVAR</v>
          </cell>
          <cell r="E196" t="str">
            <v>002412</v>
          </cell>
          <cell r="F196" t="str">
            <v>VERONA</v>
          </cell>
        </row>
        <row r="197">
          <cell r="B197" t="str">
            <v>002413</v>
          </cell>
          <cell r="C197">
            <v>6</v>
          </cell>
          <cell r="D197" t="str">
            <v>TUNJUELITO</v>
          </cell>
          <cell r="E197" t="str">
            <v>002413</v>
          </cell>
          <cell r="F197" t="str">
            <v>MUZU</v>
          </cell>
        </row>
        <row r="198">
          <cell r="B198" t="str">
            <v>002414</v>
          </cell>
          <cell r="C198">
            <v>19</v>
          </cell>
          <cell r="D198" t="str">
            <v>CIUDAD BOLIVAR</v>
          </cell>
          <cell r="E198" t="str">
            <v>002414</v>
          </cell>
          <cell r="F198" t="str">
            <v>ISMAEL PERDOMO</v>
          </cell>
        </row>
        <row r="199">
          <cell r="B199" t="str">
            <v>002415</v>
          </cell>
          <cell r="C199">
            <v>19</v>
          </cell>
          <cell r="D199" t="str">
            <v>CIUDAD BOLIVAR</v>
          </cell>
          <cell r="E199" t="str">
            <v>002415</v>
          </cell>
          <cell r="F199" t="str">
            <v>MADELENA</v>
          </cell>
        </row>
        <row r="200">
          <cell r="B200" t="str">
            <v>002416</v>
          </cell>
          <cell r="C200">
            <v>19</v>
          </cell>
          <cell r="D200" t="str">
            <v>CIUDAD BOLIVAR</v>
          </cell>
          <cell r="E200" t="str">
            <v>002416</v>
          </cell>
          <cell r="F200" t="str">
            <v>EL ENSUENO</v>
          </cell>
        </row>
        <row r="201">
          <cell r="B201" t="str">
            <v>002417</v>
          </cell>
          <cell r="C201">
            <v>19</v>
          </cell>
          <cell r="D201" t="str">
            <v>CIUDAD BOLIVAR</v>
          </cell>
          <cell r="E201" t="str">
            <v>002417</v>
          </cell>
          <cell r="F201" t="str">
            <v>BARLOVENTO</v>
          </cell>
        </row>
        <row r="202">
          <cell r="B202" t="str">
            <v>002418</v>
          </cell>
          <cell r="C202">
            <v>19</v>
          </cell>
          <cell r="D202" t="str">
            <v>CIUDAD BOLIVAR</v>
          </cell>
          <cell r="E202" t="str">
            <v>002418</v>
          </cell>
          <cell r="F202" t="str">
            <v>LA ESTANCIA</v>
          </cell>
        </row>
        <row r="203">
          <cell r="B203" t="str">
            <v>002419</v>
          </cell>
          <cell r="C203">
            <v>19</v>
          </cell>
          <cell r="D203" t="str">
            <v>CIUDAD BOLIVAR</v>
          </cell>
          <cell r="E203" t="str">
            <v>002419</v>
          </cell>
          <cell r="F203" t="str">
            <v>RINCON DE LA VALVANERA</v>
          </cell>
        </row>
        <row r="204">
          <cell r="B204" t="str">
            <v>002420</v>
          </cell>
          <cell r="C204">
            <v>19</v>
          </cell>
          <cell r="D204" t="str">
            <v>CIUDAD BOLIVAR</v>
          </cell>
          <cell r="E204" t="str">
            <v>002420</v>
          </cell>
          <cell r="F204" t="str">
            <v>LA CORUNA</v>
          </cell>
        </row>
        <row r="205">
          <cell r="B205" t="str">
            <v>002421</v>
          </cell>
          <cell r="C205">
            <v>19</v>
          </cell>
          <cell r="D205" t="str">
            <v>CIUDAD BOLIVAR</v>
          </cell>
          <cell r="E205" t="str">
            <v>002421</v>
          </cell>
          <cell r="F205" t="str">
            <v>RAFAEL ESCAMILLA</v>
          </cell>
        </row>
        <row r="206">
          <cell r="B206" t="str">
            <v>002422</v>
          </cell>
          <cell r="C206">
            <v>19</v>
          </cell>
          <cell r="D206" t="str">
            <v>CIUDAD BOLIVAR</v>
          </cell>
          <cell r="E206" t="str">
            <v>002422</v>
          </cell>
          <cell r="F206" t="str">
            <v>ATLANTA</v>
          </cell>
        </row>
        <row r="207">
          <cell r="B207" t="str">
            <v>002423</v>
          </cell>
          <cell r="C207">
            <v>19</v>
          </cell>
          <cell r="D207" t="str">
            <v>CIUDAD BOLIVAR</v>
          </cell>
          <cell r="E207" t="str">
            <v>002423</v>
          </cell>
          <cell r="F207" t="str">
            <v>ESPINO</v>
          </cell>
        </row>
        <row r="208">
          <cell r="B208" t="str">
            <v>002424</v>
          </cell>
          <cell r="C208">
            <v>19</v>
          </cell>
          <cell r="D208" t="str">
            <v>CIUDAD BOLIVAR</v>
          </cell>
          <cell r="E208" t="str">
            <v>002424</v>
          </cell>
          <cell r="F208" t="str">
            <v>RINCON DE GALICIA</v>
          </cell>
        </row>
        <row r="209">
          <cell r="B209" t="str">
            <v>002426</v>
          </cell>
          <cell r="C209">
            <v>19</v>
          </cell>
          <cell r="D209" t="str">
            <v>CIUDAD BOLIVAR</v>
          </cell>
          <cell r="E209" t="str">
            <v>002426</v>
          </cell>
          <cell r="F209" t="str">
            <v>SANTO DOMINGO</v>
          </cell>
        </row>
        <row r="210">
          <cell r="B210" t="str">
            <v>002427</v>
          </cell>
          <cell r="C210">
            <v>19</v>
          </cell>
          <cell r="D210" t="str">
            <v>CIUDAD BOLIVAR</v>
          </cell>
          <cell r="E210" t="str">
            <v>002427</v>
          </cell>
          <cell r="F210" t="str">
            <v>GALICIA</v>
          </cell>
        </row>
        <row r="211">
          <cell r="B211" t="str">
            <v>002428</v>
          </cell>
          <cell r="C211">
            <v>19</v>
          </cell>
          <cell r="D211" t="str">
            <v>CIUDAD BOLIVAR</v>
          </cell>
          <cell r="E211" t="str">
            <v>002428</v>
          </cell>
          <cell r="F211" t="str">
            <v>PRIMAVERA II</v>
          </cell>
        </row>
        <row r="212">
          <cell r="B212" t="str">
            <v>002429</v>
          </cell>
          <cell r="C212">
            <v>19</v>
          </cell>
          <cell r="D212" t="str">
            <v>CIUDAD BOLIVAR</v>
          </cell>
          <cell r="E212" t="str">
            <v>002429</v>
          </cell>
          <cell r="F212" t="str">
            <v>MARIA CANO</v>
          </cell>
        </row>
        <row r="213">
          <cell r="B213" t="str">
            <v>002430</v>
          </cell>
          <cell r="C213">
            <v>19</v>
          </cell>
          <cell r="D213" t="str">
            <v>CIUDAD BOLIVAR</v>
          </cell>
          <cell r="E213" t="str">
            <v>002430</v>
          </cell>
          <cell r="F213" t="str">
            <v>LAS BRISAS</v>
          </cell>
        </row>
        <row r="214">
          <cell r="B214" t="str">
            <v>002431</v>
          </cell>
          <cell r="C214">
            <v>19</v>
          </cell>
          <cell r="D214" t="str">
            <v>CIUDAD BOLIVAR</v>
          </cell>
          <cell r="E214" t="str">
            <v>002431</v>
          </cell>
          <cell r="F214" t="str">
            <v>POTOSI</v>
          </cell>
        </row>
        <row r="215">
          <cell r="B215" t="str">
            <v>002432</v>
          </cell>
          <cell r="C215">
            <v>19</v>
          </cell>
          <cell r="D215" t="str">
            <v>CIUDAD BOLIVAR</v>
          </cell>
          <cell r="E215" t="str">
            <v>002432</v>
          </cell>
          <cell r="F215" t="str">
            <v>ARBORIZADORA BAJA</v>
          </cell>
        </row>
        <row r="216">
          <cell r="B216" t="str">
            <v>002433</v>
          </cell>
          <cell r="C216">
            <v>19</v>
          </cell>
          <cell r="D216" t="str">
            <v>CIUDAD BOLIVAR</v>
          </cell>
          <cell r="E216" t="str">
            <v>002433</v>
          </cell>
          <cell r="F216" t="str">
            <v>EL PENON DEL CORTIJO</v>
          </cell>
        </row>
        <row r="217">
          <cell r="B217" t="str">
            <v>002434</v>
          </cell>
          <cell r="C217">
            <v>19</v>
          </cell>
          <cell r="D217" t="str">
            <v>CIUDAD BOLIVAR</v>
          </cell>
          <cell r="E217" t="str">
            <v>002434</v>
          </cell>
          <cell r="F217" t="str">
            <v>JERUSALEN</v>
          </cell>
        </row>
        <row r="218">
          <cell r="B218" t="str">
            <v>002435</v>
          </cell>
          <cell r="C218">
            <v>19</v>
          </cell>
          <cell r="D218" t="str">
            <v>CIUDAD BOLIVAR</v>
          </cell>
          <cell r="E218" t="str">
            <v>002435</v>
          </cell>
          <cell r="F218" t="str">
            <v>EL CHIRCAL SUR</v>
          </cell>
        </row>
        <row r="219">
          <cell r="B219" t="str">
            <v>002436</v>
          </cell>
          <cell r="C219">
            <v>19</v>
          </cell>
          <cell r="D219" t="str">
            <v>CIUDAD BOLIVAR</v>
          </cell>
          <cell r="E219" t="str">
            <v>002436</v>
          </cell>
          <cell r="F219" t="str">
            <v>BELLAVISTA</v>
          </cell>
        </row>
        <row r="220">
          <cell r="B220" t="str">
            <v>002437</v>
          </cell>
          <cell r="C220">
            <v>19</v>
          </cell>
          <cell r="D220" t="str">
            <v>CIUDAD BOLIVAR</v>
          </cell>
          <cell r="E220" t="str">
            <v>002437</v>
          </cell>
          <cell r="F220" t="str">
            <v>LA PRADERA</v>
          </cell>
        </row>
        <row r="221">
          <cell r="B221" t="str">
            <v>002438</v>
          </cell>
          <cell r="C221">
            <v>19</v>
          </cell>
          <cell r="D221" t="str">
            <v>CIUDAD BOLIVAR</v>
          </cell>
          <cell r="E221" t="str">
            <v>002438</v>
          </cell>
          <cell r="F221" t="str">
            <v>SIERRA MORENA</v>
          </cell>
        </row>
        <row r="222">
          <cell r="B222" t="str">
            <v>002439</v>
          </cell>
          <cell r="C222">
            <v>19</v>
          </cell>
          <cell r="D222" t="str">
            <v>CIUDAD BOLIVAR</v>
          </cell>
          <cell r="E222" t="str">
            <v>002439</v>
          </cell>
          <cell r="F222" t="str">
            <v>SIERRA MORENA</v>
          </cell>
        </row>
        <row r="223">
          <cell r="B223" t="str">
            <v>002440</v>
          </cell>
          <cell r="C223">
            <v>19</v>
          </cell>
          <cell r="D223" t="str">
            <v>CIUDAD BOLIVAR</v>
          </cell>
          <cell r="E223" t="str">
            <v>002440</v>
          </cell>
          <cell r="F223" t="str">
            <v>SIERRA MORENA</v>
          </cell>
        </row>
        <row r="224">
          <cell r="B224" t="str">
            <v>002441</v>
          </cell>
          <cell r="C224">
            <v>19</v>
          </cell>
          <cell r="D224" t="str">
            <v>CIUDAD BOLIVAR</v>
          </cell>
          <cell r="E224" t="str">
            <v>002441</v>
          </cell>
          <cell r="F224" t="str">
            <v>LOS TRES REYES I</v>
          </cell>
        </row>
        <row r="225">
          <cell r="B225" t="str">
            <v>002442</v>
          </cell>
          <cell r="C225">
            <v>19</v>
          </cell>
          <cell r="D225" t="str">
            <v>CIUDAD BOLIVAR</v>
          </cell>
          <cell r="E225" t="str">
            <v>002442</v>
          </cell>
          <cell r="F225" t="str">
            <v>SANTA VIVIANA</v>
          </cell>
        </row>
        <row r="226">
          <cell r="B226" t="str">
            <v>002443</v>
          </cell>
          <cell r="C226">
            <v>19</v>
          </cell>
          <cell r="D226" t="str">
            <v>CIUDAD BOLIVAR</v>
          </cell>
          <cell r="E226" t="str">
            <v>002443</v>
          </cell>
          <cell r="F226" t="str">
            <v>LA PRIMAVERA I</v>
          </cell>
        </row>
        <row r="227">
          <cell r="B227" t="str">
            <v>002444</v>
          </cell>
          <cell r="C227">
            <v>19</v>
          </cell>
          <cell r="D227" t="str">
            <v>CIUDAD BOLIVAR</v>
          </cell>
          <cell r="E227" t="str">
            <v>002444</v>
          </cell>
          <cell r="F227" t="str">
            <v>SIERRA MORENA II</v>
          </cell>
        </row>
        <row r="228">
          <cell r="B228" t="str">
            <v>002445</v>
          </cell>
          <cell r="C228">
            <v>19</v>
          </cell>
          <cell r="D228" t="str">
            <v>CIUDAD BOLIVAR</v>
          </cell>
          <cell r="E228" t="str">
            <v>002445</v>
          </cell>
          <cell r="F228" t="str">
            <v>CARACOLI</v>
          </cell>
        </row>
        <row r="229">
          <cell r="B229" t="str">
            <v>002446</v>
          </cell>
          <cell r="C229">
            <v>19</v>
          </cell>
          <cell r="D229" t="str">
            <v>CIUDAD BOLIVAR</v>
          </cell>
          <cell r="E229" t="str">
            <v>002446</v>
          </cell>
          <cell r="F229" t="str">
            <v>LOS TRES REYES</v>
          </cell>
        </row>
        <row r="230">
          <cell r="B230" t="str">
            <v>002447</v>
          </cell>
          <cell r="C230">
            <v>19</v>
          </cell>
          <cell r="D230" t="str">
            <v>CIUDAD BOLIVAR</v>
          </cell>
          <cell r="E230" t="str">
            <v>002447</v>
          </cell>
          <cell r="F230" t="str">
            <v>EL MIRADOR DE LA ESTANCIA</v>
          </cell>
        </row>
        <row r="231">
          <cell r="B231" t="str">
            <v>002448</v>
          </cell>
          <cell r="C231">
            <v>19</v>
          </cell>
          <cell r="D231" t="str">
            <v>CIUDAD BOLIVAR</v>
          </cell>
          <cell r="E231" t="str">
            <v>002448</v>
          </cell>
          <cell r="F231" t="str">
            <v>PERDOMO ALTO</v>
          </cell>
        </row>
        <row r="232">
          <cell r="B232" t="str">
            <v>002449</v>
          </cell>
          <cell r="C232">
            <v>19</v>
          </cell>
          <cell r="D232" t="str">
            <v>CIUDAD BOLIVAR</v>
          </cell>
          <cell r="E232" t="str">
            <v>002449</v>
          </cell>
          <cell r="F232" t="str">
            <v>ESPINO I</v>
          </cell>
        </row>
        <row r="233">
          <cell r="B233" t="str">
            <v>002450</v>
          </cell>
          <cell r="C233">
            <v>19</v>
          </cell>
          <cell r="D233" t="str">
            <v>CIUDAD BOLIVAR</v>
          </cell>
          <cell r="E233" t="str">
            <v>002450</v>
          </cell>
          <cell r="F233" t="str">
            <v>PERDOMO ALTO</v>
          </cell>
        </row>
        <row r="234">
          <cell r="B234" t="str">
            <v>002451</v>
          </cell>
          <cell r="C234">
            <v>19</v>
          </cell>
          <cell r="D234" t="str">
            <v>CIUDAD BOLIVAR</v>
          </cell>
          <cell r="E234" t="str">
            <v>002451</v>
          </cell>
          <cell r="F234" t="str">
            <v>SAN ANTONIO DEL MIRADOR</v>
          </cell>
        </row>
        <row r="235">
          <cell r="B235" t="str">
            <v>002453</v>
          </cell>
          <cell r="C235">
            <v>19</v>
          </cell>
          <cell r="D235" t="str">
            <v>CIUDAD BOLIVAR</v>
          </cell>
          <cell r="E235" t="str">
            <v>002453</v>
          </cell>
          <cell r="F235" t="str">
            <v>CIUDAD BOLIVAR</v>
          </cell>
        </row>
        <row r="236">
          <cell r="B236" t="str">
            <v>002455</v>
          </cell>
          <cell r="C236">
            <v>19</v>
          </cell>
          <cell r="D236" t="str">
            <v>CIUDAD BOLIVAR</v>
          </cell>
          <cell r="E236" t="str">
            <v>002455</v>
          </cell>
          <cell r="F236" t="str">
            <v>LA VALVANERA</v>
          </cell>
        </row>
        <row r="237">
          <cell r="B237" t="str">
            <v>002456</v>
          </cell>
          <cell r="C237">
            <v>19</v>
          </cell>
          <cell r="D237" t="str">
            <v>CIUDAD BOLIVAR</v>
          </cell>
          <cell r="E237" t="str">
            <v>002456</v>
          </cell>
          <cell r="F237" t="str">
            <v>QUIBA I</v>
          </cell>
        </row>
        <row r="238">
          <cell r="B238" t="str">
            <v>002460</v>
          </cell>
          <cell r="C238">
            <v>19</v>
          </cell>
          <cell r="D238" t="str">
            <v>CIUDAD BOLIVAR</v>
          </cell>
          <cell r="E238" t="str">
            <v>002460</v>
          </cell>
          <cell r="F238" t="str">
            <v>ARBORIZADORA ALTA I</v>
          </cell>
        </row>
        <row r="239">
          <cell r="B239" t="str">
            <v>002461</v>
          </cell>
          <cell r="C239">
            <v>19</v>
          </cell>
          <cell r="D239" t="str">
            <v>CIUDAD BOLIVAR</v>
          </cell>
          <cell r="E239" t="str">
            <v>002461</v>
          </cell>
          <cell r="F239" t="str">
            <v>ARBORIZADORA ALTA  II</v>
          </cell>
        </row>
        <row r="240">
          <cell r="B240" t="str">
            <v>002501</v>
          </cell>
          <cell r="C240">
            <v>6</v>
          </cell>
          <cell r="D240" t="str">
            <v>TUNJUELITO</v>
          </cell>
          <cell r="E240" t="str">
            <v>002501</v>
          </cell>
          <cell r="F240" t="str">
            <v>SAN CARLOS</v>
          </cell>
        </row>
        <row r="241">
          <cell r="B241" t="str">
            <v>002502</v>
          </cell>
          <cell r="C241">
            <v>19</v>
          </cell>
          <cell r="D241" t="str">
            <v>CIUDAD BOLIVAR</v>
          </cell>
          <cell r="E241" t="str">
            <v>002502</v>
          </cell>
          <cell r="F241" t="str">
            <v>MILLAN</v>
          </cell>
        </row>
        <row r="242">
          <cell r="B242" t="str">
            <v>002503</v>
          </cell>
          <cell r="C242">
            <v>5</v>
          </cell>
          <cell r="D242" t="str">
            <v>USME</v>
          </cell>
          <cell r="E242" t="str">
            <v>002503</v>
          </cell>
          <cell r="F242" t="str">
            <v>LA AURORA</v>
          </cell>
        </row>
        <row r="243">
          <cell r="B243" t="str">
            <v>002504</v>
          </cell>
          <cell r="C243">
            <v>19</v>
          </cell>
          <cell r="D243" t="str">
            <v>CIUDAD BOLIVAR</v>
          </cell>
          <cell r="E243" t="str">
            <v>002504</v>
          </cell>
          <cell r="F243" t="str">
            <v>COMPARTIR</v>
          </cell>
        </row>
        <row r="244">
          <cell r="B244" t="str">
            <v>002505</v>
          </cell>
          <cell r="C244">
            <v>5</v>
          </cell>
          <cell r="D244" t="str">
            <v>USME</v>
          </cell>
          <cell r="E244" t="str">
            <v>002505</v>
          </cell>
          <cell r="F244" t="str">
            <v>NUEVO SAN ANDRES</v>
          </cell>
        </row>
        <row r="245">
          <cell r="B245" t="str">
            <v>002506</v>
          </cell>
          <cell r="C245">
            <v>5</v>
          </cell>
          <cell r="D245" t="str">
            <v>USME</v>
          </cell>
          <cell r="E245" t="str">
            <v>002506</v>
          </cell>
          <cell r="F245" t="str">
            <v>GRAN YOMASA</v>
          </cell>
        </row>
        <row r="246">
          <cell r="B246" t="str">
            <v>002507</v>
          </cell>
          <cell r="C246">
            <v>6</v>
          </cell>
          <cell r="D246" t="str">
            <v>TUNJUELITO</v>
          </cell>
          <cell r="E246" t="str">
            <v>002507</v>
          </cell>
          <cell r="F246" t="str">
            <v>ABRAHAM LINCOLN</v>
          </cell>
        </row>
        <row r="247">
          <cell r="B247" t="str">
            <v>002508</v>
          </cell>
          <cell r="C247">
            <v>6</v>
          </cell>
          <cell r="D247" t="str">
            <v>TUNJUELITO</v>
          </cell>
          <cell r="E247" t="str">
            <v>002508</v>
          </cell>
          <cell r="F247" t="str">
            <v>TUNJUELITO</v>
          </cell>
        </row>
        <row r="248">
          <cell r="B248" t="str">
            <v>002509</v>
          </cell>
          <cell r="C248">
            <v>6</v>
          </cell>
          <cell r="D248" t="str">
            <v>TUNJUELITO</v>
          </cell>
          <cell r="E248" t="str">
            <v>002509</v>
          </cell>
          <cell r="F248" t="str">
            <v>SAN BENITO</v>
          </cell>
        </row>
        <row r="249">
          <cell r="B249" t="str">
            <v>002510</v>
          </cell>
          <cell r="C249">
            <v>18</v>
          </cell>
          <cell r="D249" t="str">
            <v>RAFAEL URIBE URIBE</v>
          </cell>
          <cell r="E249" t="str">
            <v>002510</v>
          </cell>
          <cell r="F249" t="str">
            <v>LA PICOTA ORIENTAL</v>
          </cell>
        </row>
        <row r="250">
          <cell r="B250" t="str">
            <v>002511</v>
          </cell>
          <cell r="C250">
            <v>18</v>
          </cell>
          <cell r="D250" t="str">
            <v>RAFAEL URIBE URIBE</v>
          </cell>
          <cell r="E250" t="str">
            <v>002511</v>
          </cell>
          <cell r="F250" t="str">
            <v>LA PICOTA</v>
          </cell>
        </row>
        <row r="251">
          <cell r="B251" t="str">
            <v>002512</v>
          </cell>
          <cell r="C251">
            <v>6</v>
          </cell>
          <cell r="D251" t="str">
            <v>TUNJUELITO</v>
          </cell>
          <cell r="E251" t="str">
            <v>002512</v>
          </cell>
          <cell r="F251" t="str">
            <v>AREA ARTILLERIA</v>
          </cell>
        </row>
        <row r="252">
          <cell r="B252" t="str">
            <v>002513</v>
          </cell>
          <cell r="C252">
            <v>19</v>
          </cell>
          <cell r="D252" t="str">
            <v>CIUDAD BOLIVAR</v>
          </cell>
          <cell r="E252" t="str">
            <v>002513</v>
          </cell>
          <cell r="F252" t="str">
            <v>LAS ACACIAS</v>
          </cell>
        </row>
        <row r="253">
          <cell r="B253" t="str">
            <v>002514</v>
          </cell>
          <cell r="C253">
            <v>19</v>
          </cell>
          <cell r="D253" t="str">
            <v>CIUDAD BOLIVAR</v>
          </cell>
          <cell r="E253" t="str">
            <v>002514</v>
          </cell>
          <cell r="F253" t="str">
            <v>MEISSEN</v>
          </cell>
        </row>
        <row r="254">
          <cell r="B254" t="str">
            <v>002515</v>
          </cell>
          <cell r="C254">
            <v>19</v>
          </cell>
          <cell r="D254" t="str">
            <v>CIUDAD BOLIVAR</v>
          </cell>
          <cell r="E254" t="str">
            <v>002515</v>
          </cell>
          <cell r="F254" t="str">
            <v>SAN FRANCISCO</v>
          </cell>
        </row>
        <row r="255">
          <cell r="B255" t="str">
            <v>002516</v>
          </cell>
          <cell r="C255">
            <v>19</v>
          </cell>
          <cell r="D255" t="str">
            <v>CIUDAD BOLIVAR</v>
          </cell>
          <cell r="E255" t="str">
            <v>002516</v>
          </cell>
          <cell r="F255" t="str">
            <v>MEXICO</v>
          </cell>
        </row>
        <row r="256">
          <cell r="B256" t="str">
            <v>002517</v>
          </cell>
          <cell r="C256">
            <v>19</v>
          </cell>
          <cell r="D256" t="str">
            <v>CIUDAD BOLIVAR</v>
          </cell>
          <cell r="E256" t="str">
            <v>002517</v>
          </cell>
          <cell r="F256" t="str">
            <v>LUCERO DEL SUR</v>
          </cell>
        </row>
        <row r="257">
          <cell r="B257" t="str">
            <v>002518</v>
          </cell>
          <cell r="C257">
            <v>19</v>
          </cell>
          <cell r="D257" t="str">
            <v>CIUDAD BOLIVAR</v>
          </cell>
          <cell r="E257" t="str">
            <v>002518</v>
          </cell>
          <cell r="F257" t="str">
            <v>RONDA</v>
          </cell>
        </row>
        <row r="258">
          <cell r="B258" t="str">
            <v>002519</v>
          </cell>
          <cell r="C258">
            <v>5</v>
          </cell>
          <cell r="D258" t="str">
            <v>USME</v>
          </cell>
          <cell r="E258" t="str">
            <v>002519</v>
          </cell>
          <cell r="F258" t="str">
            <v>DANUBIO</v>
          </cell>
        </row>
        <row r="259">
          <cell r="B259" t="str">
            <v>002520</v>
          </cell>
          <cell r="C259">
            <v>19</v>
          </cell>
          <cell r="D259" t="str">
            <v>CIUDAD BOLIVAR</v>
          </cell>
          <cell r="E259" t="str">
            <v>002520</v>
          </cell>
          <cell r="F259" t="str">
            <v>LAS MANAS</v>
          </cell>
        </row>
        <row r="260">
          <cell r="B260" t="str">
            <v>002521</v>
          </cell>
          <cell r="C260">
            <v>19</v>
          </cell>
          <cell r="D260" t="str">
            <v>CIUDAD BOLIVAR</v>
          </cell>
          <cell r="E260" t="str">
            <v>002521</v>
          </cell>
          <cell r="F260" t="str">
            <v>LUCERO ALTO</v>
          </cell>
        </row>
        <row r="261">
          <cell r="B261" t="str">
            <v>002522</v>
          </cell>
          <cell r="C261">
            <v>19</v>
          </cell>
          <cell r="D261" t="str">
            <v>CIUDAD BOLIVAR</v>
          </cell>
          <cell r="E261" t="str">
            <v>002522</v>
          </cell>
          <cell r="F261" t="str">
            <v>EL MOCHUELO ORIENTAL</v>
          </cell>
        </row>
        <row r="262">
          <cell r="B262" t="str">
            <v>002523</v>
          </cell>
          <cell r="C262">
            <v>19</v>
          </cell>
          <cell r="D262" t="str">
            <v>CIUDAD BOLIVAR</v>
          </cell>
          <cell r="E262" t="str">
            <v>002523</v>
          </cell>
          <cell r="F262" t="str">
            <v>LA ALAMEDA</v>
          </cell>
        </row>
        <row r="263">
          <cell r="B263" t="str">
            <v>002524</v>
          </cell>
          <cell r="C263">
            <v>5</v>
          </cell>
          <cell r="D263" t="str">
            <v>USME</v>
          </cell>
          <cell r="E263" t="str">
            <v>002524</v>
          </cell>
          <cell r="F263" t="str">
            <v>LA ANDREA</v>
          </cell>
        </row>
        <row r="264">
          <cell r="B264" t="str">
            <v>002525</v>
          </cell>
          <cell r="C264">
            <v>5</v>
          </cell>
          <cell r="D264" t="str">
            <v>USME</v>
          </cell>
          <cell r="E264" t="str">
            <v>002525</v>
          </cell>
          <cell r="F264" t="str">
            <v>BARRANQUILLITA</v>
          </cell>
        </row>
        <row r="265">
          <cell r="B265" t="str">
            <v>002526</v>
          </cell>
          <cell r="C265">
            <v>5</v>
          </cell>
          <cell r="D265" t="str">
            <v>USME</v>
          </cell>
          <cell r="E265" t="str">
            <v>002526</v>
          </cell>
          <cell r="F265" t="str">
            <v>SANTA LIBRADA</v>
          </cell>
        </row>
        <row r="266">
          <cell r="B266" t="str">
            <v>002527</v>
          </cell>
          <cell r="C266">
            <v>5</v>
          </cell>
          <cell r="D266" t="str">
            <v>USME</v>
          </cell>
          <cell r="E266" t="str">
            <v>002527</v>
          </cell>
          <cell r="F266" t="str">
            <v>LA CABANA</v>
          </cell>
        </row>
        <row r="267">
          <cell r="B267" t="str">
            <v>002528</v>
          </cell>
          <cell r="C267">
            <v>5</v>
          </cell>
          <cell r="D267" t="str">
            <v>USME</v>
          </cell>
          <cell r="E267" t="str">
            <v>002528</v>
          </cell>
          <cell r="F267" t="str">
            <v>SANTA LIBRADA NORTE</v>
          </cell>
        </row>
        <row r="268">
          <cell r="B268" t="str">
            <v>002529</v>
          </cell>
          <cell r="C268">
            <v>5</v>
          </cell>
          <cell r="D268" t="str">
            <v>USME</v>
          </cell>
          <cell r="E268" t="str">
            <v>002529</v>
          </cell>
          <cell r="F268" t="str">
            <v>LA MARICHUELA</v>
          </cell>
        </row>
        <row r="269">
          <cell r="B269" t="str">
            <v>002530</v>
          </cell>
          <cell r="C269">
            <v>19</v>
          </cell>
          <cell r="D269" t="str">
            <v>CIUDAD BOLIVAR</v>
          </cell>
          <cell r="E269" t="str">
            <v>002530</v>
          </cell>
          <cell r="F269" t="str">
            <v>QUIBA</v>
          </cell>
        </row>
        <row r="270">
          <cell r="B270" t="str">
            <v>002531</v>
          </cell>
          <cell r="C270">
            <v>19</v>
          </cell>
          <cell r="D270" t="str">
            <v>CIUDAD BOLIVAR</v>
          </cell>
          <cell r="E270" t="str">
            <v>002531</v>
          </cell>
          <cell r="F270" t="str">
            <v>CANDELARIA LA NUEVA</v>
          </cell>
        </row>
        <row r="271">
          <cell r="B271" t="str">
            <v>002532</v>
          </cell>
          <cell r="C271">
            <v>19</v>
          </cell>
          <cell r="D271" t="str">
            <v>CIUDAD BOLIVAR</v>
          </cell>
          <cell r="E271" t="str">
            <v>002532</v>
          </cell>
          <cell r="F271" t="str">
            <v>QUINTAS DEL SUR</v>
          </cell>
        </row>
        <row r="272">
          <cell r="B272" t="str">
            <v>002533</v>
          </cell>
          <cell r="C272">
            <v>19</v>
          </cell>
          <cell r="D272" t="str">
            <v>CIUDAD BOLIVAR</v>
          </cell>
          <cell r="E272" t="str">
            <v>002533</v>
          </cell>
          <cell r="F272" t="str">
            <v>SOTAVENTO</v>
          </cell>
        </row>
        <row r="273">
          <cell r="B273" t="str">
            <v>002534</v>
          </cell>
          <cell r="C273">
            <v>19</v>
          </cell>
          <cell r="D273" t="str">
            <v>CIUDAD BOLIVAR</v>
          </cell>
          <cell r="E273" t="str">
            <v>002534</v>
          </cell>
          <cell r="F273" t="str">
            <v>CASA DE TEJA</v>
          </cell>
        </row>
        <row r="274">
          <cell r="B274" t="str">
            <v>002535</v>
          </cell>
          <cell r="C274">
            <v>18</v>
          </cell>
          <cell r="D274" t="str">
            <v>RAFAEL URIBE URIBE</v>
          </cell>
          <cell r="E274" t="str">
            <v>002535</v>
          </cell>
          <cell r="F274" t="str">
            <v>PALERMO SUR</v>
          </cell>
        </row>
        <row r="275">
          <cell r="B275" t="str">
            <v>002536</v>
          </cell>
          <cell r="C275">
            <v>5</v>
          </cell>
          <cell r="D275" t="str">
            <v>USME</v>
          </cell>
          <cell r="E275" t="str">
            <v>002536</v>
          </cell>
          <cell r="F275" t="str">
            <v>MONTEBLANCO</v>
          </cell>
        </row>
        <row r="276">
          <cell r="B276" t="str">
            <v>002537</v>
          </cell>
          <cell r="C276">
            <v>5</v>
          </cell>
          <cell r="D276" t="str">
            <v>USME</v>
          </cell>
          <cell r="E276" t="str">
            <v>002537</v>
          </cell>
          <cell r="F276" t="str">
            <v>CHUNIZA</v>
          </cell>
        </row>
        <row r="277">
          <cell r="B277" t="str">
            <v>002538</v>
          </cell>
          <cell r="C277">
            <v>5</v>
          </cell>
          <cell r="D277" t="str">
            <v>USME</v>
          </cell>
          <cell r="E277" t="str">
            <v>002538</v>
          </cell>
          <cell r="F277" t="str">
            <v>USMINIA</v>
          </cell>
        </row>
        <row r="278">
          <cell r="B278" t="str">
            <v>002539</v>
          </cell>
          <cell r="C278">
            <v>19</v>
          </cell>
          <cell r="D278" t="str">
            <v>CIUDAD BOLIVAR</v>
          </cell>
          <cell r="E278" t="str">
            <v>002539</v>
          </cell>
          <cell r="F278" t="str">
            <v>SAN RAFAEL</v>
          </cell>
        </row>
        <row r="279">
          <cell r="B279" t="str">
            <v>002540</v>
          </cell>
          <cell r="C279">
            <v>19</v>
          </cell>
          <cell r="D279" t="str">
            <v>CIUDAD BOLIVAR</v>
          </cell>
          <cell r="E279" t="str">
            <v>002540</v>
          </cell>
          <cell r="F279" t="str">
            <v>ESTRELLA DEL SUR</v>
          </cell>
        </row>
        <row r="280">
          <cell r="B280" t="str">
            <v>002541</v>
          </cell>
          <cell r="C280">
            <v>5</v>
          </cell>
          <cell r="D280" t="str">
            <v>USME</v>
          </cell>
          <cell r="E280" t="str">
            <v>002541</v>
          </cell>
          <cell r="F280" t="str">
            <v>GRANADA SUR</v>
          </cell>
        </row>
        <row r="281">
          <cell r="B281" t="str">
            <v>002542</v>
          </cell>
          <cell r="C281">
            <v>5</v>
          </cell>
          <cell r="D281" t="str">
            <v>USME</v>
          </cell>
          <cell r="E281" t="str">
            <v>002542</v>
          </cell>
          <cell r="F281" t="str">
            <v>SERRANIAS</v>
          </cell>
        </row>
        <row r="282">
          <cell r="B282" t="str">
            <v>002543</v>
          </cell>
          <cell r="C282">
            <v>5</v>
          </cell>
          <cell r="D282" t="str">
            <v>USME</v>
          </cell>
          <cell r="E282" t="str">
            <v>002543</v>
          </cell>
          <cell r="F282" t="str">
            <v>COMUNEROS</v>
          </cell>
        </row>
        <row r="283">
          <cell r="B283" t="str">
            <v>002544</v>
          </cell>
          <cell r="C283">
            <v>19</v>
          </cell>
          <cell r="D283" t="str">
            <v>CIUDAD BOLIVAR</v>
          </cell>
          <cell r="E283" t="str">
            <v>002544</v>
          </cell>
          <cell r="F283" t="str">
            <v>LOS LAURELES II</v>
          </cell>
        </row>
        <row r="284">
          <cell r="B284" t="str">
            <v>002545</v>
          </cell>
          <cell r="C284">
            <v>19</v>
          </cell>
          <cell r="D284" t="str">
            <v>CIUDAD BOLIVAR</v>
          </cell>
          <cell r="E284" t="str">
            <v>002545</v>
          </cell>
          <cell r="F284" t="str">
            <v>EL SATELITE</v>
          </cell>
        </row>
        <row r="285">
          <cell r="B285" t="str">
            <v>002546</v>
          </cell>
          <cell r="C285">
            <v>19</v>
          </cell>
          <cell r="D285" t="str">
            <v>CIUDAD BOLIVAR</v>
          </cell>
          <cell r="E285" t="str">
            <v>002546</v>
          </cell>
          <cell r="F285" t="str">
            <v>NACIONES UNIDAS</v>
          </cell>
        </row>
        <row r="286">
          <cell r="B286" t="str">
            <v>002547</v>
          </cell>
          <cell r="C286">
            <v>19</v>
          </cell>
          <cell r="D286" t="str">
            <v>CIUDAD BOLIVAR</v>
          </cell>
          <cell r="E286" t="str">
            <v>002547</v>
          </cell>
          <cell r="F286" t="str">
            <v>EL TESORO</v>
          </cell>
        </row>
        <row r="287">
          <cell r="B287" t="str">
            <v>002548</v>
          </cell>
          <cell r="C287">
            <v>5</v>
          </cell>
          <cell r="D287" t="str">
            <v>USME</v>
          </cell>
          <cell r="E287" t="str">
            <v>002548</v>
          </cell>
          <cell r="F287" t="str">
            <v>EL VIRREY</v>
          </cell>
        </row>
        <row r="288">
          <cell r="B288" t="str">
            <v>002549</v>
          </cell>
          <cell r="C288">
            <v>19</v>
          </cell>
          <cell r="D288" t="str">
            <v>CIUDAD BOLIVAR</v>
          </cell>
          <cell r="E288" t="str">
            <v>002549</v>
          </cell>
          <cell r="F288" t="str">
            <v>VILLA GLORIA</v>
          </cell>
        </row>
        <row r="289">
          <cell r="B289" t="str">
            <v>002550</v>
          </cell>
          <cell r="C289">
            <v>5</v>
          </cell>
          <cell r="D289" t="str">
            <v>USME</v>
          </cell>
          <cell r="E289" t="str">
            <v>002550</v>
          </cell>
          <cell r="F289" t="str">
            <v>DUITAMA</v>
          </cell>
        </row>
        <row r="290">
          <cell r="B290" t="str">
            <v>002551</v>
          </cell>
          <cell r="C290">
            <v>5</v>
          </cell>
          <cell r="D290" t="str">
            <v>USME</v>
          </cell>
          <cell r="E290" t="str">
            <v>002551</v>
          </cell>
          <cell r="F290" t="str">
            <v>ALASKA</v>
          </cell>
        </row>
        <row r="291">
          <cell r="B291" t="str">
            <v>002552</v>
          </cell>
          <cell r="C291">
            <v>19</v>
          </cell>
          <cell r="D291" t="str">
            <v>CIUDAD BOLIVAR</v>
          </cell>
          <cell r="E291" t="str">
            <v>002552</v>
          </cell>
          <cell r="F291" t="str">
            <v>JUAN PABLO II</v>
          </cell>
        </row>
        <row r="292">
          <cell r="B292" t="str">
            <v>002553</v>
          </cell>
          <cell r="C292">
            <v>19</v>
          </cell>
          <cell r="D292" t="str">
            <v>CIUDAD BOLIVAR</v>
          </cell>
          <cell r="E292" t="str">
            <v>002553</v>
          </cell>
          <cell r="F292" t="str">
            <v>SUMAPAZ</v>
          </cell>
        </row>
        <row r="293">
          <cell r="B293" t="str">
            <v>002554</v>
          </cell>
          <cell r="C293">
            <v>19</v>
          </cell>
          <cell r="D293" t="str">
            <v>CIUDAD BOLIVAR</v>
          </cell>
          <cell r="E293" t="str">
            <v>002554</v>
          </cell>
          <cell r="F293" t="str">
            <v>GIBRALTAR SUR</v>
          </cell>
        </row>
        <row r="294">
          <cell r="B294" t="str">
            <v>002555</v>
          </cell>
          <cell r="C294">
            <v>5</v>
          </cell>
          <cell r="D294" t="str">
            <v>USME</v>
          </cell>
          <cell r="E294" t="str">
            <v>002555</v>
          </cell>
          <cell r="F294" t="str">
            <v>SAN JUAN BAUTISTA</v>
          </cell>
        </row>
        <row r="295">
          <cell r="B295" t="str">
            <v>002556</v>
          </cell>
          <cell r="C295">
            <v>5</v>
          </cell>
          <cell r="D295" t="str">
            <v>USME</v>
          </cell>
          <cell r="E295" t="str">
            <v>002556</v>
          </cell>
          <cell r="F295" t="str">
            <v>DESARROLLO BRAZUELOS I</v>
          </cell>
        </row>
        <row r="296">
          <cell r="B296" t="str">
            <v>002557</v>
          </cell>
          <cell r="C296">
            <v>19</v>
          </cell>
          <cell r="D296" t="str">
            <v>CIUDAD BOLIVAR</v>
          </cell>
          <cell r="E296" t="str">
            <v>002557</v>
          </cell>
          <cell r="F296" t="str">
            <v>JUAN JOSE RONDON</v>
          </cell>
        </row>
        <row r="297">
          <cell r="B297" t="str">
            <v>002558</v>
          </cell>
          <cell r="C297">
            <v>19</v>
          </cell>
          <cell r="D297" t="str">
            <v>CIUDAD BOLIVAR</v>
          </cell>
          <cell r="E297" t="str">
            <v>002558</v>
          </cell>
          <cell r="F297" t="str">
            <v>VILLAS EL DIAMANTE</v>
          </cell>
        </row>
        <row r="298">
          <cell r="B298" t="str">
            <v>002559</v>
          </cell>
          <cell r="C298">
            <v>19</v>
          </cell>
          <cell r="D298" t="str">
            <v>CIUDAD BOLIVAR</v>
          </cell>
          <cell r="E298" t="str">
            <v>002559</v>
          </cell>
          <cell r="F298" t="str">
            <v>LOS ALPES SUR</v>
          </cell>
        </row>
        <row r="299">
          <cell r="B299" t="str">
            <v>002560</v>
          </cell>
          <cell r="C299">
            <v>19</v>
          </cell>
          <cell r="D299" t="str">
            <v>CIUDAD BOLIVAR</v>
          </cell>
          <cell r="E299" t="str">
            <v>002560</v>
          </cell>
          <cell r="F299" t="str">
            <v>BELLAVISTA LUCERO ALTO</v>
          </cell>
        </row>
        <row r="300">
          <cell r="B300" t="str">
            <v>002561</v>
          </cell>
          <cell r="C300">
            <v>19</v>
          </cell>
          <cell r="D300" t="str">
            <v>CIUDAD BOLIVAR</v>
          </cell>
          <cell r="E300" t="str">
            <v>002561</v>
          </cell>
          <cell r="F300" t="str">
            <v>CORDILLERA DEL SUR</v>
          </cell>
        </row>
        <row r="301">
          <cell r="B301" t="str">
            <v>002562</v>
          </cell>
          <cell r="C301">
            <v>19</v>
          </cell>
          <cell r="D301" t="str">
            <v>CIUDAD BOLIVAR</v>
          </cell>
          <cell r="E301" t="str">
            <v>002562</v>
          </cell>
          <cell r="F301" t="str">
            <v>CENTRAL DE MEZCLAS</v>
          </cell>
        </row>
        <row r="302">
          <cell r="B302" t="str">
            <v>002563</v>
          </cell>
          <cell r="C302">
            <v>5</v>
          </cell>
          <cell r="D302" t="str">
            <v>USME</v>
          </cell>
          <cell r="E302" t="str">
            <v>002563</v>
          </cell>
          <cell r="F302" t="str">
            <v>EL PEDREGAL</v>
          </cell>
        </row>
        <row r="303">
          <cell r="B303" t="str">
            <v>002564</v>
          </cell>
          <cell r="C303">
            <v>19</v>
          </cell>
          <cell r="D303" t="str">
            <v>CIUDAD BOLIVAR</v>
          </cell>
          <cell r="E303" t="str">
            <v>002564</v>
          </cell>
          <cell r="F303" t="str">
            <v>EL MINUTO DE MARIA</v>
          </cell>
        </row>
        <row r="304">
          <cell r="B304" t="str">
            <v>002565</v>
          </cell>
          <cell r="C304">
            <v>19</v>
          </cell>
          <cell r="D304" t="str">
            <v>CIUDAD BOLIVAR</v>
          </cell>
          <cell r="E304" t="str">
            <v>002565</v>
          </cell>
          <cell r="F304" t="str">
            <v>PARAISO QUIBA</v>
          </cell>
        </row>
        <row r="305">
          <cell r="B305" t="str">
            <v>002566</v>
          </cell>
          <cell r="C305">
            <v>18</v>
          </cell>
          <cell r="D305" t="str">
            <v>RAFAEL URIBE URIBE</v>
          </cell>
          <cell r="E305" t="str">
            <v>002566</v>
          </cell>
          <cell r="F305" t="str">
            <v>LA PAZ</v>
          </cell>
        </row>
        <row r="306">
          <cell r="B306" t="str">
            <v>002568</v>
          </cell>
          <cell r="C306">
            <v>19</v>
          </cell>
          <cell r="D306" t="str">
            <v>CIUDAD BOLIVAR</v>
          </cell>
          <cell r="E306" t="str">
            <v>002568</v>
          </cell>
          <cell r="F306" t="str">
            <v>ARBORIZADORA ALTA</v>
          </cell>
        </row>
        <row r="307">
          <cell r="B307" t="str">
            <v>002569</v>
          </cell>
          <cell r="C307">
            <v>19</v>
          </cell>
          <cell r="D307" t="str">
            <v>CIUDAD BOLIVAR</v>
          </cell>
          <cell r="E307" t="str">
            <v>002569</v>
          </cell>
          <cell r="F307" t="str">
            <v>ARBORIZADORA ALTA</v>
          </cell>
        </row>
        <row r="308">
          <cell r="B308" t="str">
            <v>002570</v>
          </cell>
          <cell r="C308">
            <v>19</v>
          </cell>
          <cell r="D308" t="str">
            <v>CIUDAD BOLIVAR</v>
          </cell>
          <cell r="E308" t="str">
            <v>002570</v>
          </cell>
          <cell r="F308" t="str">
            <v>EL MIRADOR</v>
          </cell>
        </row>
        <row r="309">
          <cell r="B309" t="str">
            <v>002571</v>
          </cell>
          <cell r="C309">
            <v>5</v>
          </cell>
          <cell r="D309" t="str">
            <v>USME</v>
          </cell>
          <cell r="E309" t="str">
            <v>002571</v>
          </cell>
          <cell r="F309" t="str">
            <v>ANTONIO JOSE DE SUCRE</v>
          </cell>
        </row>
        <row r="310">
          <cell r="B310" t="str">
            <v>002572</v>
          </cell>
          <cell r="C310">
            <v>5</v>
          </cell>
          <cell r="D310" t="str">
            <v>USME</v>
          </cell>
          <cell r="E310" t="str">
            <v>002572</v>
          </cell>
          <cell r="F310" t="str">
            <v>SALAZAR USME</v>
          </cell>
        </row>
        <row r="311">
          <cell r="B311" t="str">
            <v>002573</v>
          </cell>
          <cell r="C311">
            <v>19</v>
          </cell>
          <cell r="D311" t="str">
            <v>CIUDAD BOLIVAR</v>
          </cell>
          <cell r="E311" t="str">
            <v>002573</v>
          </cell>
          <cell r="F311" t="str">
            <v>ARBORIZADORA ALTA</v>
          </cell>
        </row>
        <row r="312">
          <cell r="B312" t="str">
            <v>002574</v>
          </cell>
          <cell r="C312">
            <v>19</v>
          </cell>
          <cell r="D312" t="str">
            <v>CIUDAD BOLIVAR</v>
          </cell>
          <cell r="E312" t="str">
            <v>002574</v>
          </cell>
          <cell r="F312" t="str">
            <v>CEDRITOS DEL SUR</v>
          </cell>
        </row>
        <row r="313">
          <cell r="B313" t="str">
            <v>002575</v>
          </cell>
          <cell r="C313">
            <v>19</v>
          </cell>
          <cell r="D313" t="str">
            <v>CIUDAD BOLIVAR</v>
          </cell>
          <cell r="E313" t="str">
            <v>002575</v>
          </cell>
          <cell r="F313" t="str">
            <v>CERRO COLORADO</v>
          </cell>
        </row>
        <row r="314">
          <cell r="B314" t="str">
            <v>002576</v>
          </cell>
          <cell r="C314">
            <v>5</v>
          </cell>
          <cell r="D314" t="str">
            <v>USME</v>
          </cell>
          <cell r="E314" t="str">
            <v>002576</v>
          </cell>
          <cell r="F314" t="str">
            <v>SERRANIAS I</v>
          </cell>
        </row>
        <row r="315">
          <cell r="B315" t="str">
            <v>002577</v>
          </cell>
          <cell r="C315">
            <v>5</v>
          </cell>
          <cell r="D315" t="str">
            <v>USME</v>
          </cell>
          <cell r="E315" t="str">
            <v>002577</v>
          </cell>
          <cell r="F315" t="str">
            <v>DANUBIO II</v>
          </cell>
        </row>
        <row r="316">
          <cell r="B316" t="str">
            <v>002578</v>
          </cell>
          <cell r="C316">
            <v>19</v>
          </cell>
          <cell r="D316" t="str">
            <v>CIUDAD BOLIVAR</v>
          </cell>
          <cell r="E316" t="str">
            <v>002578</v>
          </cell>
          <cell r="F316" t="str">
            <v>ARABIA</v>
          </cell>
        </row>
        <row r="317">
          <cell r="B317" t="str">
            <v>002579</v>
          </cell>
          <cell r="C317">
            <v>19</v>
          </cell>
          <cell r="D317" t="str">
            <v>CIUDAD BOLIVAR</v>
          </cell>
          <cell r="E317" t="str">
            <v>002579</v>
          </cell>
          <cell r="F317" t="str">
            <v>VILLA CANDELARIA</v>
          </cell>
        </row>
        <row r="318">
          <cell r="B318" t="str">
            <v>002580</v>
          </cell>
          <cell r="C318">
            <v>19</v>
          </cell>
          <cell r="D318" t="str">
            <v>CIUDAD BOLIVAR</v>
          </cell>
          <cell r="E318" t="str">
            <v>002580</v>
          </cell>
          <cell r="F318" t="str">
            <v>BELLA FLOR</v>
          </cell>
        </row>
        <row r="319">
          <cell r="B319" t="str">
            <v>002581</v>
          </cell>
          <cell r="C319">
            <v>19</v>
          </cell>
          <cell r="D319" t="str">
            <v>CIUDAD BOLIVAR</v>
          </cell>
          <cell r="E319" t="str">
            <v>002581</v>
          </cell>
          <cell r="F319" t="str">
            <v>LA TORRE</v>
          </cell>
        </row>
        <row r="320">
          <cell r="B320" t="str">
            <v>002582</v>
          </cell>
          <cell r="C320">
            <v>19</v>
          </cell>
          <cell r="D320" t="str">
            <v>CIUDAD BOLIVAR</v>
          </cell>
          <cell r="E320" t="str">
            <v>002582</v>
          </cell>
          <cell r="F320" t="str">
            <v>BELLA FLOR SUR</v>
          </cell>
        </row>
        <row r="321">
          <cell r="B321" t="str">
            <v>002583</v>
          </cell>
          <cell r="C321">
            <v>19</v>
          </cell>
          <cell r="D321" t="str">
            <v>CIUDAD BOLIVAR</v>
          </cell>
          <cell r="E321" t="str">
            <v>002583</v>
          </cell>
          <cell r="F321" t="str">
            <v>QUIBA URBANO</v>
          </cell>
        </row>
        <row r="322">
          <cell r="B322" t="str">
            <v>002584</v>
          </cell>
          <cell r="C322">
            <v>19</v>
          </cell>
          <cell r="D322" t="str">
            <v>CIUDAD BOLIVAR</v>
          </cell>
          <cell r="E322" t="str">
            <v>002584</v>
          </cell>
          <cell r="F322" t="str">
            <v>EL MOCHUELO</v>
          </cell>
        </row>
        <row r="323">
          <cell r="B323" t="str">
            <v>002585</v>
          </cell>
          <cell r="C323">
            <v>19</v>
          </cell>
          <cell r="D323" t="str">
            <v>CIUDAD BOLIVAR</v>
          </cell>
          <cell r="E323" t="str">
            <v>002585</v>
          </cell>
          <cell r="F323" t="str">
            <v>EL MOCHUELO URBANO</v>
          </cell>
        </row>
        <row r="324">
          <cell r="B324" t="str">
            <v>002586</v>
          </cell>
          <cell r="C324">
            <v>5</v>
          </cell>
          <cell r="D324" t="str">
            <v>USME</v>
          </cell>
          <cell r="E324" t="str">
            <v>002586</v>
          </cell>
          <cell r="F324" t="str">
            <v>YOMASA NORTE</v>
          </cell>
        </row>
        <row r="325">
          <cell r="B325" t="str">
            <v>002587</v>
          </cell>
          <cell r="C325">
            <v>19</v>
          </cell>
          <cell r="D325" t="str">
            <v>CIUDAD BOLIVAR</v>
          </cell>
          <cell r="E325" t="str">
            <v>002587</v>
          </cell>
          <cell r="F325" t="str">
            <v>BRISAS DEL VOLADOR</v>
          </cell>
        </row>
        <row r="326">
          <cell r="B326" t="str">
            <v>002588</v>
          </cell>
          <cell r="C326">
            <v>19</v>
          </cell>
          <cell r="D326" t="str">
            <v>CIUDAD BOLIVAR</v>
          </cell>
          <cell r="E326" t="str">
            <v>002588</v>
          </cell>
          <cell r="F326" t="str">
            <v>EL MOCHUELO III URBANO</v>
          </cell>
        </row>
        <row r="327">
          <cell r="B327" t="str">
            <v>002589</v>
          </cell>
          <cell r="C327">
            <v>5</v>
          </cell>
          <cell r="D327" t="str">
            <v>USME</v>
          </cell>
          <cell r="E327" t="str">
            <v>002589</v>
          </cell>
          <cell r="F327" t="str">
            <v>PORVENIR</v>
          </cell>
        </row>
        <row r="328">
          <cell r="B328" t="str">
            <v>002590</v>
          </cell>
          <cell r="C328">
            <v>5</v>
          </cell>
          <cell r="D328" t="str">
            <v>USME</v>
          </cell>
          <cell r="E328" t="str">
            <v>002590</v>
          </cell>
          <cell r="F328" t="str">
            <v>LA FISCALA</v>
          </cell>
        </row>
        <row r="329">
          <cell r="B329" t="str">
            <v>002591</v>
          </cell>
          <cell r="C329">
            <v>19</v>
          </cell>
          <cell r="D329" t="str">
            <v>CIUDAD BOLIVAR</v>
          </cell>
          <cell r="E329" t="str">
            <v>002591</v>
          </cell>
          <cell r="F329" t="str">
            <v>BRAZUELOS OCCIDENTAL</v>
          </cell>
        </row>
        <row r="330">
          <cell r="B330" t="str">
            <v>002592</v>
          </cell>
          <cell r="C330">
            <v>5</v>
          </cell>
          <cell r="D330" t="str">
            <v>USME</v>
          </cell>
          <cell r="E330" t="str">
            <v>002592</v>
          </cell>
          <cell r="F330" t="str">
            <v>DESARROLLO BRAZUELOS</v>
          </cell>
        </row>
        <row r="331">
          <cell r="B331" t="str">
            <v>002593</v>
          </cell>
          <cell r="C331">
            <v>5</v>
          </cell>
          <cell r="D331" t="str">
            <v>USME</v>
          </cell>
          <cell r="E331" t="str">
            <v>002593</v>
          </cell>
          <cell r="F331" t="str">
            <v>TUNJUELITO</v>
          </cell>
        </row>
        <row r="332">
          <cell r="B332" t="str">
            <v>002594</v>
          </cell>
          <cell r="C332">
            <v>5</v>
          </cell>
          <cell r="D332" t="str">
            <v>USME</v>
          </cell>
          <cell r="E332" t="str">
            <v>002594</v>
          </cell>
          <cell r="F332" t="str">
            <v>VILLA ISRAEL</v>
          </cell>
        </row>
        <row r="333">
          <cell r="B333" t="str">
            <v>002595</v>
          </cell>
          <cell r="C333">
            <v>19</v>
          </cell>
          <cell r="D333" t="str">
            <v>CIUDAD BOLIVAR</v>
          </cell>
          <cell r="E333" t="str">
            <v>002595</v>
          </cell>
          <cell r="F333" t="str">
            <v>LAGUNITAS URBANO</v>
          </cell>
        </row>
        <row r="334">
          <cell r="B334" t="str">
            <v>002596</v>
          </cell>
          <cell r="C334">
            <v>19</v>
          </cell>
          <cell r="D334" t="str">
            <v>CIUDAD BOLIVAR</v>
          </cell>
          <cell r="E334" t="str">
            <v>002596</v>
          </cell>
          <cell r="F334" t="str">
            <v>EL MOCHUELO ALTO</v>
          </cell>
        </row>
        <row r="335">
          <cell r="B335" t="str">
            <v>002597</v>
          </cell>
          <cell r="C335">
            <v>5</v>
          </cell>
          <cell r="D335" t="str">
            <v>USME</v>
          </cell>
          <cell r="E335" t="str">
            <v>002597</v>
          </cell>
          <cell r="F335" t="str">
            <v>LA FISCALA NORTE</v>
          </cell>
        </row>
        <row r="336">
          <cell r="B336" t="str">
            <v>002598</v>
          </cell>
          <cell r="C336">
            <v>19</v>
          </cell>
          <cell r="D336" t="str">
            <v>CIUDAD BOLIVAR</v>
          </cell>
          <cell r="E336" t="str">
            <v>002598</v>
          </cell>
          <cell r="F336" t="str">
            <v>EL MOCHUELO II URBANO</v>
          </cell>
        </row>
        <row r="337">
          <cell r="B337" t="str">
            <v>002599</v>
          </cell>
          <cell r="C337">
            <v>5</v>
          </cell>
          <cell r="D337" t="str">
            <v>USME</v>
          </cell>
          <cell r="E337" t="str">
            <v>002599</v>
          </cell>
          <cell r="F337" t="str">
            <v>CENTRO USME URBANO</v>
          </cell>
        </row>
        <row r="338">
          <cell r="B338" t="str">
            <v>002601</v>
          </cell>
          <cell r="C338">
            <v>5</v>
          </cell>
          <cell r="D338" t="str">
            <v>USME</v>
          </cell>
          <cell r="E338" t="str">
            <v>002601</v>
          </cell>
          <cell r="F338" t="str">
            <v>ARRAYANES I</v>
          </cell>
        </row>
        <row r="339">
          <cell r="B339" t="str">
            <v>002602</v>
          </cell>
          <cell r="C339">
            <v>5</v>
          </cell>
          <cell r="D339" t="str">
            <v>USME</v>
          </cell>
          <cell r="E339" t="str">
            <v>002602</v>
          </cell>
          <cell r="F339" t="str">
            <v>FISCALA ALTA</v>
          </cell>
        </row>
        <row r="340">
          <cell r="B340" t="str">
            <v>002604</v>
          </cell>
          <cell r="C340">
            <v>5</v>
          </cell>
          <cell r="D340" t="str">
            <v>USME</v>
          </cell>
          <cell r="E340" t="str">
            <v>002604</v>
          </cell>
          <cell r="F340" t="str">
            <v>LOS OLIVARES</v>
          </cell>
        </row>
        <row r="341">
          <cell r="B341" t="str">
            <v>002605</v>
          </cell>
          <cell r="C341">
            <v>5</v>
          </cell>
          <cell r="D341" t="str">
            <v>USME</v>
          </cell>
          <cell r="E341" t="str">
            <v>002605</v>
          </cell>
          <cell r="F341" t="str">
            <v>BOLONIA</v>
          </cell>
        </row>
        <row r="342">
          <cell r="B342" t="str">
            <v>002606</v>
          </cell>
          <cell r="C342">
            <v>5</v>
          </cell>
          <cell r="D342" t="str">
            <v>USME</v>
          </cell>
          <cell r="E342" t="str">
            <v>002606</v>
          </cell>
          <cell r="F342" t="str">
            <v>EL CURUBO</v>
          </cell>
        </row>
        <row r="343">
          <cell r="B343" t="str">
            <v>002607</v>
          </cell>
          <cell r="C343">
            <v>5</v>
          </cell>
          <cell r="D343" t="str">
            <v>USME</v>
          </cell>
          <cell r="E343" t="str">
            <v>002607</v>
          </cell>
          <cell r="F343" t="str">
            <v>LA ESPERANZA SUR</v>
          </cell>
        </row>
        <row r="344">
          <cell r="B344" t="str">
            <v>002608</v>
          </cell>
          <cell r="C344">
            <v>5</v>
          </cell>
          <cell r="D344" t="str">
            <v>USME</v>
          </cell>
          <cell r="E344" t="str">
            <v>002608</v>
          </cell>
          <cell r="F344" t="str">
            <v>EL BOSQUE CENTRAL I</v>
          </cell>
        </row>
        <row r="345">
          <cell r="B345" t="str">
            <v>002609</v>
          </cell>
          <cell r="C345">
            <v>5</v>
          </cell>
          <cell r="D345" t="str">
            <v>USME</v>
          </cell>
          <cell r="E345" t="str">
            <v>002609</v>
          </cell>
          <cell r="F345" t="str">
            <v>EL BOSQUE</v>
          </cell>
        </row>
        <row r="346">
          <cell r="B346" t="str">
            <v>002610</v>
          </cell>
          <cell r="C346">
            <v>5</v>
          </cell>
          <cell r="D346" t="str">
            <v>USME</v>
          </cell>
          <cell r="E346" t="str">
            <v>002610</v>
          </cell>
          <cell r="F346" t="str">
            <v>CHAPINERITO</v>
          </cell>
        </row>
        <row r="347">
          <cell r="B347" t="str">
            <v>002611</v>
          </cell>
          <cell r="C347">
            <v>5</v>
          </cell>
          <cell r="D347" t="str">
            <v>USME</v>
          </cell>
          <cell r="E347" t="str">
            <v>002611</v>
          </cell>
          <cell r="F347" t="str">
            <v>CHARALA</v>
          </cell>
        </row>
        <row r="348">
          <cell r="B348" t="str">
            <v>002612</v>
          </cell>
          <cell r="C348">
            <v>5</v>
          </cell>
          <cell r="D348" t="str">
            <v>USME</v>
          </cell>
          <cell r="E348" t="str">
            <v>002612</v>
          </cell>
          <cell r="F348" t="str">
            <v>LA COMUNA</v>
          </cell>
        </row>
        <row r="349">
          <cell r="B349" t="str">
            <v>002613</v>
          </cell>
          <cell r="C349">
            <v>5</v>
          </cell>
          <cell r="D349" t="str">
            <v>USME</v>
          </cell>
          <cell r="E349" t="str">
            <v>002613</v>
          </cell>
          <cell r="F349" t="str">
            <v>EL PROGRESO USME</v>
          </cell>
        </row>
        <row r="350">
          <cell r="B350" t="str">
            <v>002614</v>
          </cell>
          <cell r="C350">
            <v>5</v>
          </cell>
          <cell r="D350" t="str">
            <v>USME</v>
          </cell>
          <cell r="E350" t="str">
            <v>002614</v>
          </cell>
          <cell r="F350" t="str">
            <v>LA ORQUIDEA DE USME</v>
          </cell>
        </row>
        <row r="351">
          <cell r="B351" t="str">
            <v>002615</v>
          </cell>
          <cell r="C351">
            <v>5</v>
          </cell>
          <cell r="D351" t="str">
            <v>USME</v>
          </cell>
          <cell r="E351" t="str">
            <v>002615</v>
          </cell>
          <cell r="F351" t="str">
            <v>LA ESPERANZA DE USME</v>
          </cell>
        </row>
        <row r="352">
          <cell r="B352" t="str">
            <v>002616</v>
          </cell>
          <cell r="C352">
            <v>5</v>
          </cell>
          <cell r="D352" t="str">
            <v>USME</v>
          </cell>
          <cell r="E352" t="str">
            <v>002616</v>
          </cell>
          <cell r="F352" t="str">
            <v>EL NUEVO PORTAL</v>
          </cell>
        </row>
        <row r="353">
          <cell r="B353" t="str">
            <v>002617</v>
          </cell>
          <cell r="C353">
            <v>5</v>
          </cell>
          <cell r="D353" t="str">
            <v>USME</v>
          </cell>
          <cell r="E353" t="str">
            <v>002617</v>
          </cell>
          <cell r="F353" t="str">
            <v>EL REFUGIO I</v>
          </cell>
        </row>
        <row r="354">
          <cell r="B354" t="str">
            <v>002618</v>
          </cell>
          <cell r="C354">
            <v>5</v>
          </cell>
          <cell r="D354" t="str">
            <v>USME</v>
          </cell>
          <cell r="E354" t="str">
            <v>002618</v>
          </cell>
          <cell r="F354" t="str">
            <v>PUERTA AL LLANO DE USME</v>
          </cell>
        </row>
        <row r="355">
          <cell r="B355" t="str">
            <v>002619</v>
          </cell>
          <cell r="C355">
            <v>5</v>
          </cell>
          <cell r="D355" t="str">
            <v>USME</v>
          </cell>
          <cell r="E355" t="str">
            <v>002619</v>
          </cell>
          <cell r="F355" t="str">
            <v>VILLA ANITA</v>
          </cell>
        </row>
        <row r="356">
          <cell r="B356" t="str">
            <v>002620</v>
          </cell>
          <cell r="C356">
            <v>5</v>
          </cell>
          <cell r="D356" t="str">
            <v>USME</v>
          </cell>
          <cell r="E356" t="str">
            <v>002620</v>
          </cell>
          <cell r="F356" t="str">
            <v>EL NUEVO PORTAL II</v>
          </cell>
        </row>
        <row r="357">
          <cell r="B357" t="str">
            <v>002621</v>
          </cell>
          <cell r="C357">
            <v>5</v>
          </cell>
          <cell r="D357" t="str">
            <v>USME</v>
          </cell>
          <cell r="E357" t="str">
            <v>002621</v>
          </cell>
          <cell r="F357" t="str">
            <v>SAN FELIPE DE USME</v>
          </cell>
        </row>
        <row r="358">
          <cell r="B358" t="str">
            <v>002622</v>
          </cell>
          <cell r="C358">
            <v>5</v>
          </cell>
          <cell r="D358" t="str">
            <v>USME</v>
          </cell>
          <cell r="E358" t="str">
            <v>002622</v>
          </cell>
          <cell r="F358" t="str">
            <v>TOCAIMITA ORIENTAL I</v>
          </cell>
        </row>
        <row r="359">
          <cell r="B359" t="str">
            <v>002625</v>
          </cell>
          <cell r="C359">
            <v>5</v>
          </cell>
          <cell r="D359" t="str">
            <v>USME</v>
          </cell>
          <cell r="E359" t="str">
            <v>002625</v>
          </cell>
          <cell r="F359" t="str">
            <v>ARRAYANES V</v>
          </cell>
        </row>
        <row r="360">
          <cell r="B360" t="str">
            <v>002626</v>
          </cell>
          <cell r="C360">
            <v>5</v>
          </cell>
          <cell r="D360" t="str">
            <v>USME</v>
          </cell>
          <cell r="E360" t="str">
            <v>002626</v>
          </cell>
          <cell r="F360" t="str">
            <v>BOLONIA I</v>
          </cell>
        </row>
        <row r="361">
          <cell r="B361" t="str">
            <v>002627</v>
          </cell>
          <cell r="C361">
            <v>5</v>
          </cell>
          <cell r="D361" t="str">
            <v>USME</v>
          </cell>
          <cell r="E361" t="str">
            <v>002627</v>
          </cell>
          <cell r="F361" t="str">
            <v>LA REFORMA</v>
          </cell>
        </row>
        <row r="362">
          <cell r="B362" t="str">
            <v>002629</v>
          </cell>
          <cell r="C362">
            <v>5</v>
          </cell>
          <cell r="D362" t="str">
            <v>USME</v>
          </cell>
          <cell r="E362" t="str">
            <v>002629</v>
          </cell>
          <cell r="F362" t="str">
            <v>EL NEVADO II</v>
          </cell>
        </row>
        <row r="363">
          <cell r="B363" t="str">
            <v>002630</v>
          </cell>
          <cell r="C363">
            <v>5</v>
          </cell>
          <cell r="D363" t="str">
            <v>USME</v>
          </cell>
          <cell r="E363" t="str">
            <v>002630</v>
          </cell>
          <cell r="F363" t="str">
            <v>EL PORTAL DEL DIVINO</v>
          </cell>
        </row>
        <row r="364">
          <cell r="B364" t="str">
            <v>002631</v>
          </cell>
          <cell r="C364">
            <v>5</v>
          </cell>
          <cell r="D364" t="str">
            <v>USME</v>
          </cell>
          <cell r="E364" t="str">
            <v>002631</v>
          </cell>
          <cell r="F364" t="str">
            <v>EL NEVADO</v>
          </cell>
        </row>
        <row r="365">
          <cell r="B365" t="str">
            <v>002632</v>
          </cell>
          <cell r="C365">
            <v>5</v>
          </cell>
          <cell r="D365" t="str">
            <v>USME</v>
          </cell>
          <cell r="E365" t="str">
            <v>002632</v>
          </cell>
          <cell r="F365" t="str">
            <v>LA REQUILINA</v>
          </cell>
        </row>
        <row r="366">
          <cell r="B366" t="str">
            <v>002633</v>
          </cell>
          <cell r="C366">
            <v>5</v>
          </cell>
          <cell r="D366" t="str">
            <v>USME</v>
          </cell>
          <cell r="E366" t="str">
            <v>002633</v>
          </cell>
          <cell r="F366" t="str">
            <v>LAS VIOLETAS</v>
          </cell>
        </row>
        <row r="367">
          <cell r="B367" t="str">
            <v>002634</v>
          </cell>
          <cell r="C367">
            <v>5</v>
          </cell>
          <cell r="D367" t="str">
            <v>USME</v>
          </cell>
          <cell r="E367" t="str">
            <v>002634</v>
          </cell>
          <cell r="F367" t="str">
            <v>EL TUNO</v>
          </cell>
        </row>
        <row r="368">
          <cell r="B368" t="str">
            <v>002635</v>
          </cell>
          <cell r="C368">
            <v>5</v>
          </cell>
          <cell r="D368" t="str">
            <v>USME</v>
          </cell>
          <cell r="E368" t="str">
            <v>002635</v>
          </cell>
          <cell r="F368" t="str">
            <v>BRISAS DEL LLANO</v>
          </cell>
        </row>
        <row r="369">
          <cell r="B369" t="str">
            <v>002636</v>
          </cell>
          <cell r="C369">
            <v>5</v>
          </cell>
          <cell r="D369" t="str">
            <v>USME</v>
          </cell>
          <cell r="E369" t="str">
            <v>002636</v>
          </cell>
          <cell r="F369" t="str">
            <v>LA HUERTA</v>
          </cell>
        </row>
        <row r="370">
          <cell r="B370" t="str">
            <v>002637</v>
          </cell>
          <cell r="C370">
            <v>18</v>
          </cell>
          <cell r="D370" t="str">
            <v>RAFAEL URIBE URIBE</v>
          </cell>
          <cell r="E370" t="str">
            <v>002637</v>
          </cell>
          <cell r="F370" t="str">
            <v>ARRAYANES VI</v>
          </cell>
        </row>
        <row r="371">
          <cell r="B371" t="str">
            <v>002640</v>
          </cell>
          <cell r="C371">
            <v>5</v>
          </cell>
          <cell r="D371" t="str">
            <v>USME</v>
          </cell>
          <cell r="E371" t="str">
            <v>002640</v>
          </cell>
          <cell r="F371" t="str">
            <v>EL PEDREGAL II</v>
          </cell>
        </row>
        <row r="372">
          <cell r="B372" t="str">
            <v>002642</v>
          </cell>
          <cell r="C372">
            <v>5</v>
          </cell>
          <cell r="D372" t="str">
            <v>USME</v>
          </cell>
          <cell r="E372" t="str">
            <v>002642</v>
          </cell>
          <cell r="F372" t="str">
            <v>EL PORTAL URBANO</v>
          </cell>
        </row>
        <row r="373">
          <cell r="B373" t="str">
            <v>003101</v>
          </cell>
          <cell r="C373">
            <v>3</v>
          </cell>
          <cell r="D373" t="str">
            <v>SANTA FE</v>
          </cell>
          <cell r="E373" t="str">
            <v>003101</v>
          </cell>
          <cell r="F373" t="str">
            <v>LA ALAMEDA</v>
          </cell>
        </row>
        <row r="374">
          <cell r="B374" t="str">
            <v>003102</v>
          </cell>
          <cell r="C374">
            <v>3</v>
          </cell>
          <cell r="D374" t="str">
            <v>SANTA FE</v>
          </cell>
          <cell r="E374" t="str">
            <v>003102</v>
          </cell>
          <cell r="F374" t="str">
            <v>LAS NIEVES</v>
          </cell>
        </row>
        <row r="375">
          <cell r="B375" t="str">
            <v>003103</v>
          </cell>
          <cell r="C375">
            <v>17</v>
          </cell>
          <cell r="D375" t="str">
            <v>LA CANDELARIA</v>
          </cell>
          <cell r="E375" t="str">
            <v>003103</v>
          </cell>
          <cell r="F375" t="str">
            <v>LAS AGUAS</v>
          </cell>
        </row>
        <row r="376">
          <cell r="B376" t="str">
            <v>003104</v>
          </cell>
          <cell r="C376">
            <v>17</v>
          </cell>
          <cell r="D376" t="str">
            <v>LA CANDELARIA</v>
          </cell>
          <cell r="E376" t="str">
            <v>003104</v>
          </cell>
          <cell r="F376" t="str">
            <v>LA CONCORDIA</v>
          </cell>
        </row>
        <row r="377">
          <cell r="B377" t="str">
            <v>003105</v>
          </cell>
          <cell r="C377">
            <v>17</v>
          </cell>
          <cell r="D377" t="str">
            <v>LA CANDELARIA</v>
          </cell>
          <cell r="E377" t="str">
            <v>003105</v>
          </cell>
          <cell r="F377" t="str">
            <v>EGIPTO</v>
          </cell>
        </row>
        <row r="378">
          <cell r="B378" t="str">
            <v>003106</v>
          </cell>
          <cell r="C378">
            <v>17</v>
          </cell>
          <cell r="D378" t="str">
            <v>LA CANDELARIA</v>
          </cell>
          <cell r="E378" t="str">
            <v>003106</v>
          </cell>
          <cell r="F378" t="str">
            <v>CENTRO ADMINISTRATIVO</v>
          </cell>
        </row>
        <row r="379">
          <cell r="B379" t="str">
            <v>003107</v>
          </cell>
          <cell r="C379">
            <v>3</v>
          </cell>
          <cell r="D379" t="str">
            <v>SANTA FE</v>
          </cell>
          <cell r="E379" t="str">
            <v>003107</v>
          </cell>
          <cell r="F379" t="str">
            <v>SANTA INES</v>
          </cell>
        </row>
        <row r="380">
          <cell r="B380" t="str">
            <v>003108</v>
          </cell>
          <cell r="C380">
            <v>3</v>
          </cell>
          <cell r="D380" t="str">
            <v>SANTA FE</v>
          </cell>
          <cell r="E380" t="str">
            <v>003108</v>
          </cell>
          <cell r="F380" t="str">
            <v>LA CAPUCHINA</v>
          </cell>
        </row>
        <row r="381">
          <cell r="B381" t="str">
            <v>003109</v>
          </cell>
          <cell r="C381">
            <v>3</v>
          </cell>
          <cell r="D381" t="str">
            <v>SANTA FE</v>
          </cell>
          <cell r="E381" t="str">
            <v>003109</v>
          </cell>
          <cell r="F381" t="str">
            <v>VERACRUZ</v>
          </cell>
        </row>
        <row r="382">
          <cell r="B382" t="str">
            <v>003110</v>
          </cell>
          <cell r="C382">
            <v>17</v>
          </cell>
          <cell r="D382" t="str">
            <v>LA CANDELARIA</v>
          </cell>
          <cell r="E382" t="str">
            <v>003110</v>
          </cell>
          <cell r="F382" t="str">
            <v>LA CATEDRAL</v>
          </cell>
        </row>
        <row r="383">
          <cell r="B383" t="str">
            <v>003201</v>
          </cell>
          <cell r="C383">
            <v>3</v>
          </cell>
          <cell r="D383" t="str">
            <v>SANTA FE</v>
          </cell>
          <cell r="E383" t="str">
            <v>003201</v>
          </cell>
          <cell r="F383" t="str">
            <v>SAN BERNARDINO</v>
          </cell>
        </row>
        <row r="384">
          <cell r="B384" t="str">
            <v>003202</v>
          </cell>
          <cell r="C384">
            <v>3</v>
          </cell>
          <cell r="D384" t="str">
            <v>SANTA FE</v>
          </cell>
          <cell r="E384" t="str">
            <v>003202</v>
          </cell>
          <cell r="F384" t="str">
            <v>LAS CRUCES</v>
          </cell>
        </row>
        <row r="385">
          <cell r="B385" t="str">
            <v>003203</v>
          </cell>
          <cell r="C385">
            <v>17</v>
          </cell>
          <cell r="D385" t="str">
            <v>LA CANDELARIA</v>
          </cell>
          <cell r="E385" t="str">
            <v>003203</v>
          </cell>
          <cell r="F385" t="str">
            <v>SANTA BARBARA</v>
          </cell>
        </row>
        <row r="386">
          <cell r="B386" t="str">
            <v>003204</v>
          </cell>
          <cell r="C386">
            <v>17</v>
          </cell>
          <cell r="D386" t="str">
            <v>LA CANDELARIA</v>
          </cell>
          <cell r="E386" t="str">
            <v>003204</v>
          </cell>
          <cell r="F386" t="str">
            <v>BELEN</v>
          </cell>
        </row>
        <row r="387">
          <cell r="B387" t="str">
            <v>003205</v>
          </cell>
          <cell r="C387">
            <v>3</v>
          </cell>
          <cell r="D387" t="str">
            <v>SANTA FE</v>
          </cell>
          <cell r="E387" t="str">
            <v>003205</v>
          </cell>
          <cell r="F387" t="str">
            <v>EL GUAVIO</v>
          </cell>
        </row>
        <row r="388">
          <cell r="B388" t="str">
            <v>003206</v>
          </cell>
          <cell r="C388">
            <v>3</v>
          </cell>
          <cell r="D388" t="str">
            <v>SANTA FE</v>
          </cell>
          <cell r="E388" t="str">
            <v>003206</v>
          </cell>
          <cell r="F388" t="str">
            <v>LA PENA</v>
          </cell>
        </row>
        <row r="389">
          <cell r="B389" t="str">
            <v>003207</v>
          </cell>
          <cell r="C389">
            <v>3</v>
          </cell>
          <cell r="D389" t="str">
            <v>SANTA FE</v>
          </cell>
          <cell r="E389" t="str">
            <v>003207</v>
          </cell>
          <cell r="F389" t="str">
            <v>LOS LACHES</v>
          </cell>
        </row>
        <row r="390">
          <cell r="B390" t="str">
            <v>003208</v>
          </cell>
          <cell r="C390">
            <v>3</v>
          </cell>
          <cell r="D390" t="str">
            <v>SANTA FE</v>
          </cell>
          <cell r="E390" t="str">
            <v>003208</v>
          </cell>
          <cell r="F390" t="str">
            <v>EL ROCIO</v>
          </cell>
        </row>
        <row r="391">
          <cell r="B391" t="str">
            <v>003209</v>
          </cell>
          <cell r="C391">
            <v>3</v>
          </cell>
          <cell r="D391" t="str">
            <v>SANTA FE</v>
          </cell>
          <cell r="E391" t="str">
            <v>003209</v>
          </cell>
          <cell r="F391" t="str">
            <v>EL DORADO</v>
          </cell>
        </row>
        <row r="392">
          <cell r="B392" t="str">
            <v>003210</v>
          </cell>
          <cell r="C392">
            <v>3</v>
          </cell>
          <cell r="D392" t="str">
            <v>SANTA FE</v>
          </cell>
          <cell r="E392" t="str">
            <v>003210</v>
          </cell>
          <cell r="F392" t="str">
            <v>RAMIREZ</v>
          </cell>
        </row>
        <row r="393">
          <cell r="B393" t="str">
            <v>003211</v>
          </cell>
          <cell r="C393">
            <v>3</v>
          </cell>
          <cell r="D393" t="str">
            <v>SANTA FE</v>
          </cell>
          <cell r="E393" t="str">
            <v>003211</v>
          </cell>
          <cell r="F393" t="str">
            <v>GIRARDOT</v>
          </cell>
        </row>
        <row r="394">
          <cell r="B394" t="str">
            <v>003212</v>
          </cell>
          <cell r="C394">
            <v>3</v>
          </cell>
          <cell r="D394" t="str">
            <v>SANTA FE</v>
          </cell>
          <cell r="E394" t="str">
            <v>003212</v>
          </cell>
          <cell r="F394" t="str">
            <v>LOURDES</v>
          </cell>
        </row>
        <row r="395">
          <cell r="B395" t="str">
            <v>003215</v>
          </cell>
          <cell r="C395">
            <v>3</v>
          </cell>
          <cell r="D395" t="str">
            <v>SANTA FE</v>
          </cell>
          <cell r="E395" t="str">
            <v>003215</v>
          </cell>
          <cell r="F395" t="str">
            <v>SAN FRANCISCO RURAL</v>
          </cell>
        </row>
        <row r="396">
          <cell r="B396" t="str">
            <v>004101</v>
          </cell>
          <cell r="C396">
            <v>14</v>
          </cell>
          <cell r="D396" t="str">
            <v>LOS MARTIRES</v>
          </cell>
          <cell r="E396" t="str">
            <v>004101</v>
          </cell>
          <cell r="F396" t="str">
            <v>RICAURTE</v>
          </cell>
        </row>
        <row r="397">
          <cell r="B397" t="str">
            <v>004102</v>
          </cell>
          <cell r="C397">
            <v>14</v>
          </cell>
          <cell r="D397" t="str">
            <v>LOS MARTIRES</v>
          </cell>
          <cell r="E397" t="str">
            <v>004102</v>
          </cell>
          <cell r="F397" t="str">
            <v>LA SABANA</v>
          </cell>
        </row>
        <row r="398">
          <cell r="B398" t="str">
            <v>004103</v>
          </cell>
          <cell r="C398">
            <v>14</v>
          </cell>
          <cell r="D398" t="str">
            <v>LOS MARTIRES</v>
          </cell>
          <cell r="E398" t="str">
            <v>004103</v>
          </cell>
          <cell r="F398" t="str">
            <v>VOTO NACIONAL</v>
          </cell>
        </row>
        <row r="399">
          <cell r="B399" t="str">
            <v>004104</v>
          </cell>
          <cell r="C399">
            <v>14</v>
          </cell>
          <cell r="D399" t="str">
            <v>LOS MARTIRES</v>
          </cell>
          <cell r="E399" t="str">
            <v>004104</v>
          </cell>
          <cell r="F399" t="str">
            <v>LA ESTANZUELA</v>
          </cell>
        </row>
        <row r="400">
          <cell r="B400" t="str">
            <v>004105</v>
          </cell>
          <cell r="C400">
            <v>14</v>
          </cell>
          <cell r="D400" t="str">
            <v>LOS MARTIRES</v>
          </cell>
          <cell r="E400" t="str">
            <v>004105</v>
          </cell>
          <cell r="F400" t="str">
            <v>EDUARDO SANTOS</v>
          </cell>
        </row>
        <row r="401">
          <cell r="B401" t="str">
            <v>004106</v>
          </cell>
          <cell r="C401">
            <v>14</v>
          </cell>
          <cell r="D401" t="str">
            <v>LOS MARTIRES</v>
          </cell>
          <cell r="E401" t="str">
            <v>004106</v>
          </cell>
          <cell r="F401" t="str">
            <v>EL VERGEL</v>
          </cell>
        </row>
        <row r="402">
          <cell r="B402" t="str">
            <v>004107</v>
          </cell>
          <cell r="C402">
            <v>14</v>
          </cell>
          <cell r="D402" t="str">
            <v>LOS MARTIRES</v>
          </cell>
          <cell r="E402" t="str">
            <v>004107</v>
          </cell>
          <cell r="F402" t="str">
            <v>SANTA ISABEL SUR</v>
          </cell>
        </row>
        <row r="403">
          <cell r="B403" t="str">
            <v>004108</v>
          </cell>
          <cell r="C403">
            <v>14</v>
          </cell>
          <cell r="D403" t="str">
            <v>LOS MARTIRES</v>
          </cell>
          <cell r="E403" t="str">
            <v>004108</v>
          </cell>
          <cell r="F403" t="str">
            <v>SANTA ISABEL</v>
          </cell>
        </row>
        <row r="404">
          <cell r="B404" t="str">
            <v>004109</v>
          </cell>
          <cell r="C404">
            <v>14</v>
          </cell>
          <cell r="D404" t="str">
            <v>LOS MARTIRES</v>
          </cell>
          <cell r="E404" t="str">
            <v>004109</v>
          </cell>
          <cell r="F404" t="str">
            <v>VERAGUAS</v>
          </cell>
        </row>
        <row r="405">
          <cell r="B405" t="str">
            <v>004110</v>
          </cell>
          <cell r="C405">
            <v>14</v>
          </cell>
          <cell r="D405" t="str">
            <v>LOS MARTIRES</v>
          </cell>
          <cell r="E405" t="str">
            <v>004110</v>
          </cell>
          <cell r="F405" t="str">
            <v>LA PEPITA</v>
          </cell>
        </row>
        <row r="406">
          <cell r="B406" t="str">
            <v>004111</v>
          </cell>
          <cell r="C406">
            <v>14</v>
          </cell>
          <cell r="D406" t="str">
            <v>LOS MARTIRES</v>
          </cell>
          <cell r="E406" t="str">
            <v>004111</v>
          </cell>
          <cell r="F406" t="str">
            <v>EL PROGRESO</v>
          </cell>
        </row>
        <row r="407">
          <cell r="B407" t="str">
            <v>004201</v>
          </cell>
          <cell r="C407">
            <v>16</v>
          </cell>
          <cell r="D407" t="str">
            <v>PUENTE ARANDA</v>
          </cell>
          <cell r="E407" t="str">
            <v>004201</v>
          </cell>
          <cell r="F407" t="str">
            <v>PENSILVANIA</v>
          </cell>
        </row>
        <row r="408">
          <cell r="B408" t="str">
            <v>004202</v>
          </cell>
          <cell r="C408">
            <v>16</v>
          </cell>
          <cell r="D408" t="str">
            <v>PUENTE ARANDA</v>
          </cell>
          <cell r="E408" t="str">
            <v>004202</v>
          </cell>
          <cell r="F408" t="str">
            <v>COMUNEROS</v>
          </cell>
        </row>
        <row r="409">
          <cell r="B409" t="str">
            <v>004203</v>
          </cell>
          <cell r="C409">
            <v>16</v>
          </cell>
          <cell r="D409" t="str">
            <v>PUENTE ARANDA</v>
          </cell>
          <cell r="E409" t="str">
            <v>004203</v>
          </cell>
          <cell r="F409" t="str">
            <v>LA ASUNCION</v>
          </cell>
        </row>
        <row r="410">
          <cell r="B410" t="str">
            <v>004204</v>
          </cell>
          <cell r="C410">
            <v>16</v>
          </cell>
          <cell r="D410" t="str">
            <v>PUENTE ARANDA</v>
          </cell>
          <cell r="E410" t="str">
            <v>004204</v>
          </cell>
          <cell r="F410" t="str">
            <v>MONTES</v>
          </cell>
        </row>
        <row r="411">
          <cell r="B411" t="str">
            <v>004205</v>
          </cell>
          <cell r="C411">
            <v>16</v>
          </cell>
          <cell r="D411" t="str">
            <v>PUENTE ARANDA</v>
          </cell>
          <cell r="E411" t="str">
            <v>004205</v>
          </cell>
          <cell r="F411" t="str">
            <v>PRIMAVERA OCCIDENTAL</v>
          </cell>
        </row>
        <row r="412">
          <cell r="B412" t="str">
            <v>004206</v>
          </cell>
          <cell r="C412">
            <v>16</v>
          </cell>
          <cell r="D412" t="str">
            <v>PUENTE ARANDA</v>
          </cell>
          <cell r="E412" t="str">
            <v>004206</v>
          </cell>
          <cell r="F412" t="str">
            <v>SAN FRANCISCO</v>
          </cell>
        </row>
        <row r="413">
          <cell r="B413" t="str">
            <v>004207</v>
          </cell>
          <cell r="C413">
            <v>16</v>
          </cell>
          <cell r="D413" t="str">
            <v>PUENTE ARANDA</v>
          </cell>
          <cell r="E413" t="str">
            <v>004207</v>
          </cell>
          <cell r="F413" t="str">
            <v>GORGONZOLA</v>
          </cell>
        </row>
        <row r="414">
          <cell r="B414" t="str">
            <v>004208</v>
          </cell>
          <cell r="C414">
            <v>16</v>
          </cell>
          <cell r="D414" t="str">
            <v>PUENTE ARANDA</v>
          </cell>
          <cell r="E414" t="str">
            <v>004208</v>
          </cell>
          <cell r="F414" t="str">
            <v>LOS EJIDOS</v>
          </cell>
        </row>
        <row r="415">
          <cell r="B415" t="str">
            <v>004209</v>
          </cell>
          <cell r="C415">
            <v>16</v>
          </cell>
          <cell r="D415" t="str">
            <v>PUENTE ARANDA</v>
          </cell>
          <cell r="E415" t="str">
            <v>004209</v>
          </cell>
          <cell r="F415" t="str">
            <v>SANTA MATILDE</v>
          </cell>
        </row>
        <row r="416">
          <cell r="B416" t="str">
            <v>004210</v>
          </cell>
          <cell r="C416">
            <v>16</v>
          </cell>
          <cell r="D416" t="str">
            <v>PUENTE ARANDA</v>
          </cell>
          <cell r="E416" t="str">
            <v>004210</v>
          </cell>
          <cell r="F416" t="str">
            <v>JORGE GAITAN CORTES</v>
          </cell>
        </row>
        <row r="417">
          <cell r="B417" t="str">
            <v>004211</v>
          </cell>
          <cell r="C417">
            <v>16</v>
          </cell>
          <cell r="D417" t="str">
            <v>PUENTE ARANDA</v>
          </cell>
          <cell r="E417" t="str">
            <v>004211</v>
          </cell>
          <cell r="F417" t="str">
            <v>BOCHICA</v>
          </cell>
        </row>
        <row r="418">
          <cell r="B418" t="str">
            <v>004212</v>
          </cell>
          <cell r="C418">
            <v>16</v>
          </cell>
          <cell r="D418" t="str">
            <v>PUENTE ARANDA</v>
          </cell>
          <cell r="E418" t="str">
            <v>004212</v>
          </cell>
          <cell r="F418" t="str">
            <v>TIBANA</v>
          </cell>
        </row>
        <row r="419">
          <cell r="B419" t="str">
            <v>004301</v>
          </cell>
          <cell r="C419">
            <v>16</v>
          </cell>
          <cell r="D419" t="str">
            <v>PUENTE ARANDA</v>
          </cell>
          <cell r="E419" t="str">
            <v>004301</v>
          </cell>
          <cell r="F419" t="str">
            <v>SAN RAFAEL INDUSTRIAL</v>
          </cell>
        </row>
        <row r="420">
          <cell r="B420" t="str">
            <v>004302</v>
          </cell>
          <cell r="C420">
            <v>16</v>
          </cell>
          <cell r="D420" t="str">
            <v>PUENTE ARANDA</v>
          </cell>
          <cell r="E420" t="str">
            <v>004302</v>
          </cell>
          <cell r="F420" t="str">
            <v>SAN RAFAEL</v>
          </cell>
        </row>
        <row r="421">
          <cell r="B421" t="str">
            <v>004303</v>
          </cell>
          <cell r="C421">
            <v>16</v>
          </cell>
          <cell r="D421" t="str">
            <v>PUENTE ARANDA</v>
          </cell>
          <cell r="E421" t="str">
            <v>004303</v>
          </cell>
          <cell r="F421" t="str">
            <v>BARCELONA</v>
          </cell>
        </row>
        <row r="422">
          <cell r="B422" t="str">
            <v>004304</v>
          </cell>
          <cell r="C422">
            <v>16</v>
          </cell>
          <cell r="D422" t="str">
            <v>PUENTE ARANDA</v>
          </cell>
          <cell r="E422" t="str">
            <v>004304</v>
          </cell>
          <cell r="F422" t="str">
            <v>GALAN</v>
          </cell>
        </row>
        <row r="423">
          <cell r="B423" t="str">
            <v>004305</v>
          </cell>
          <cell r="C423">
            <v>16</v>
          </cell>
          <cell r="D423" t="str">
            <v>PUENTE ARANDA</v>
          </cell>
          <cell r="E423" t="str">
            <v>004305</v>
          </cell>
          <cell r="F423" t="str">
            <v>LA PRADERA</v>
          </cell>
        </row>
        <row r="424">
          <cell r="B424" t="str">
            <v>004306</v>
          </cell>
          <cell r="C424">
            <v>16</v>
          </cell>
          <cell r="D424" t="str">
            <v>PUENTE ARANDA</v>
          </cell>
          <cell r="E424" t="str">
            <v>004306</v>
          </cell>
          <cell r="F424" t="str">
            <v>LA TRINIDAD</v>
          </cell>
        </row>
        <row r="425">
          <cell r="B425" t="str">
            <v>004307</v>
          </cell>
          <cell r="C425">
            <v>16</v>
          </cell>
          <cell r="D425" t="str">
            <v>PUENTE ARANDA</v>
          </cell>
          <cell r="E425" t="str">
            <v>004307</v>
          </cell>
          <cell r="F425" t="str">
            <v>SAN GABRIEL</v>
          </cell>
        </row>
        <row r="426">
          <cell r="B426" t="str">
            <v>004308</v>
          </cell>
          <cell r="C426">
            <v>16</v>
          </cell>
          <cell r="D426" t="str">
            <v>PUENTE ARANDA</v>
          </cell>
          <cell r="E426" t="str">
            <v>004308</v>
          </cell>
          <cell r="F426" t="str">
            <v>COLON</v>
          </cell>
        </row>
        <row r="427">
          <cell r="B427" t="str">
            <v>004309</v>
          </cell>
          <cell r="C427">
            <v>16</v>
          </cell>
          <cell r="D427" t="str">
            <v>PUENTE ARANDA</v>
          </cell>
          <cell r="E427" t="str">
            <v>004309</v>
          </cell>
          <cell r="F427" t="str">
            <v>LA CAMELIA</v>
          </cell>
        </row>
        <row r="428">
          <cell r="B428" t="str">
            <v>004310</v>
          </cell>
          <cell r="C428">
            <v>16</v>
          </cell>
          <cell r="D428" t="str">
            <v>PUENTE ARANDA</v>
          </cell>
          <cell r="E428" t="str">
            <v>004310</v>
          </cell>
          <cell r="F428" t="str">
            <v>PROVIVIENDA NORTE</v>
          </cell>
        </row>
        <row r="429">
          <cell r="B429" t="str">
            <v>004316</v>
          </cell>
          <cell r="C429">
            <v>8</v>
          </cell>
          <cell r="D429" t="str">
            <v>KENNEDY</v>
          </cell>
          <cell r="E429" t="str">
            <v>004316</v>
          </cell>
          <cell r="F429" t="str">
            <v>LAS MARGARITAS</v>
          </cell>
        </row>
        <row r="430">
          <cell r="B430" t="str">
            <v>004317</v>
          </cell>
          <cell r="C430">
            <v>16</v>
          </cell>
          <cell r="D430" t="str">
            <v>PUENTE ARANDA</v>
          </cell>
          <cell r="E430" t="str">
            <v>004317</v>
          </cell>
          <cell r="F430" t="str">
            <v>CAMELIA II</v>
          </cell>
        </row>
        <row r="431">
          <cell r="B431" t="str">
            <v>004401</v>
          </cell>
          <cell r="C431">
            <v>16</v>
          </cell>
          <cell r="D431" t="str">
            <v>PUENTE ARANDA</v>
          </cell>
          <cell r="E431" t="str">
            <v>004401</v>
          </cell>
          <cell r="F431" t="str">
            <v>SAN EUSEBIO</v>
          </cell>
        </row>
        <row r="432">
          <cell r="B432" t="str">
            <v>004402</v>
          </cell>
          <cell r="C432">
            <v>16</v>
          </cell>
          <cell r="D432" t="str">
            <v>PUENTE ARANDA</v>
          </cell>
          <cell r="E432" t="str">
            <v>004402</v>
          </cell>
          <cell r="F432" t="str">
            <v>REMANSO</v>
          </cell>
        </row>
        <row r="433">
          <cell r="B433" t="str">
            <v>004403</v>
          </cell>
          <cell r="C433">
            <v>16</v>
          </cell>
          <cell r="D433" t="str">
            <v>PUENTE ARANDA</v>
          </cell>
          <cell r="E433" t="str">
            <v>004403</v>
          </cell>
          <cell r="F433" t="str">
            <v>AUTOPISTA MUZU</v>
          </cell>
        </row>
        <row r="434">
          <cell r="B434" t="str">
            <v>004404</v>
          </cell>
          <cell r="C434">
            <v>16</v>
          </cell>
          <cell r="D434" t="str">
            <v>PUENTE ARANDA</v>
          </cell>
          <cell r="E434" t="str">
            <v>004404</v>
          </cell>
          <cell r="F434" t="str">
            <v>AUTOPISTA SUR</v>
          </cell>
        </row>
        <row r="435">
          <cell r="B435" t="str">
            <v>004405</v>
          </cell>
          <cell r="C435">
            <v>16</v>
          </cell>
          <cell r="D435" t="str">
            <v>PUENTE ARANDA</v>
          </cell>
          <cell r="E435" t="str">
            <v>004405</v>
          </cell>
          <cell r="F435" t="str">
            <v>OSPINA PEREZ SUR</v>
          </cell>
        </row>
        <row r="436">
          <cell r="B436" t="str">
            <v>004406</v>
          </cell>
          <cell r="C436">
            <v>16</v>
          </cell>
          <cell r="D436" t="str">
            <v>PUENTE ARANDA</v>
          </cell>
          <cell r="E436" t="str">
            <v>004406</v>
          </cell>
          <cell r="F436" t="str">
            <v>OSPINA PEREZ</v>
          </cell>
        </row>
        <row r="437">
          <cell r="B437" t="str">
            <v>004407</v>
          </cell>
          <cell r="C437">
            <v>16</v>
          </cell>
          <cell r="D437" t="str">
            <v>PUENTE ARANDA</v>
          </cell>
          <cell r="E437" t="str">
            <v>004407</v>
          </cell>
          <cell r="F437" t="str">
            <v>ALCALA</v>
          </cell>
        </row>
        <row r="438">
          <cell r="B438" t="str">
            <v>004408</v>
          </cell>
          <cell r="C438">
            <v>16</v>
          </cell>
          <cell r="D438" t="str">
            <v>PUENTE ARANDA</v>
          </cell>
          <cell r="E438" t="str">
            <v>004408</v>
          </cell>
          <cell r="F438" t="str">
            <v>TEJAR</v>
          </cell>
        </row>
        <row r="439">
          <cell r="B439" t="str">
            <v>004409</v>
          </cell>
          <cell r="C439">
            <v>16</v>
          </cell>
          <cell r="D439" t="str">
            <v>PUENTE ARANDA</v>
          </cell>
          <cell r="E439" t="str">
            <v>004409</v>
          </cell>
          <cell r="F439" t="str">
            <v>ALQUERIA</v>
          </cell>
        </row>
        <row r="440">
          <cell r="B440" t="str">
            <v>004412</v>
          </cell>
          <cell r="C440">
            <v>16</v>
          </cell>
          <cell r="D440" t="str">
            <v>PUENTE ARANDA</v>
          </cell>
          <cell r="E440" t="str">
            <v>004412</v>
          </cell>
          <cell r="F440" t="str">
            <v>REMANSO SUR</v>
          </cell>
        </row>
        <row r="441">
          <cell r="B441" t="str">
            <v>004413</v>
          </cell>
          <cell r="C441">
            <v>16</v>
          </cell>
          <cell r="D441" t="str">
            <v>PUENTE ARANDA</v>
          </cell>
          <cell r="E441" t="str">
            <v>004413</v>
          </cell>
          <cell r="F441" t="str">
            <v>AUTOPISTA MUZU ORIENTAL</v>
          </cell>
        </row>
        <row r="442">
          <cell r="B442" t="str">
            <v>004501</v>
          </cell>
          <cell r="C442">
            <v>8</v>
          </cell>
          <cell r="D442" t="str">
            <v>KENNEDY</v>
          </cell>
          <cell r="E442" t="str">
            <v>004501</v>
          </cell>
          <cell r="F442" t="str">
            <v>HIPOTECHO</v>
          </cell>
        </row>
        <row r="443">
          <cell r="B443" t="str">
            <v>004502</v>
          </cell>
          <cell r="C443">
            <v>8</v>
          </cell>
          <cell r="D443" t="str">
            <v>KENNEDY</v>
          </cell>
          <cell r="E443" t="str">
            <v>004502</v>
          </cell>
          <cell r="F443" t="str">
            <v>HIPOTECHO OCCIDENTAL</v>
          </cell>
        </row>
        <row r="444">
          <cell r="B444" t="str">
            <v>004503</v>
          </cell>
          <cell r="C444">
            <v>8</v>
          </cell>
          <cell r="D444" t="str">
            <v>KENNEDY</v>
          </cell>
          <cell r="E444" t="str">
            <v>004503</v>
          </cell>
          <cell r="F444" t="str">
            <v>PROVIVIENDA ORIENTAL</v>
          </cell>
        </row>
        <row r="445">
          <cell r="B445" t="str">
            <v>004504</v>
          </cell>
          <cell r="C445">
            <v>8</v>
          </cell>
          <cell r="D445" t="str">
            <v>KENNEDY</v>
          </cell>
          <cell r="E445" t="str">
            <v>004504</v>
          </cell>
          <cell r="F445" t="str">
            <v>PROVIVIENDA</v>
          </cell>
        </row>
        <row r="446">
          <cell r="B446" t="str">
            <v>004505</v>
          </cell>
          <cell r="C446">
            <v>8</v>
          </cell>
          <cell r="D446" t="str">
            <v>KENNEDY</v>
          </cell>
          <cell r="E446" t="str">
            <v>004505</v>
          </cell>
          <cell r="F446" t="str">
            <v>PROVIVIENDA OCCIDENTAL</v>
          </cell>
        </row>
        <row r="447">
          <cell r="B447" t="str">
            <v>004506</v>
          </cell>
          <cell r="C447">
            <v>8</v>
          </cell>
          <cell r="D447" t="str">
            <v>KENNEDY</v>
          </cell>
          <cell r="E447" t="str">
            <v>004506</v>
          </cell>
          <cell r="F447" t="str">
            <v>LA CAMPINA</v>
          </cell>
        </row>
        <row r="448">
          <cell r="B448" t="str">
            <v>004507</v>
          </cell>
          <cell r="C448">
            <v>8</v>
          </cell>
          <cell r="D448" t="str">
            <v>KENNEDY</v>
          </cell>
          <cell r="E448" t="str">
            <v>004507</v>
          </cell>
          <cell r="F448" t="str">
            <v>CIUDAD KENNEDY SUR</v>
          </cell>
        </row>
        <row r="449">
          <cell r="B449" t="str">
            <v>004508</v>
          </cell>
          <cell r="C449">
            <v>8</v>
          </cell>
          <cell r="D449" t="str">
            <v>KENNEDY</v>
          </cell>
          <cell r="E449" t="str">
            <v>004508</v>
          </cell>
          <cell r="F449" t="str">
            <v>CIUDAD KENNEDY OCCIDENTAL</v>
          </cell>
        </row>
        <row r="450">
          <cell r="B450" t="str">
            <v>004509</v>
          </cell>
          <cell r="C450">
            <v>8</v>
          </cell>
          <cell r="D450" t="str">
            <v>KENNEDY</v>
          </cell>
          <cell r="E450" t="str">
            <v>004509</v>
          </cell>
          <cell r="F450" t="str">
            <v>CIUDAD KENNEDY</v>
          </cell>
        </row>
        <row r="451">
          <cell r="B451" t="str">
            <v>004510</v>
          </cell>
          <cell r="C451">
            <v>8</v>
          </cell>
          <cell r="D451" t="str">
            <v>KENNEDY</v>
          </cell>
          <cell r="E451" t="str">
            <v>004510</v>
          </cell>
          <cell r="F451" t="str">
            <v>CIUDAD KENNEDY ORIENTAL</v>
          </cell>
        </row>
        <row r="452">
          <cell r="B452" t="str">
            <v>004511</v>
          </cell>
          <cell r="C452">
            <v>8</v>
          </cell>
          <cell r="D452" t="str">
            <v>KENNEDY</v>
          </cell>
          <cell r="E452" t="str">
            <v>004511</v>
          </cell>
          <cell r="F452" t="str">
            <v>CIUDAD KENNEDY CENTRAL</v>
          </cell>
        </row>
        <row r="453">
          <cell r="B453" t="str">
            <v>004512</v>
          </cell>
          <cell r="C453">
            <v>8</v>
          </cell>
          <cell r="D453" t="str">
            <v>KENNEDY</v>
          </cell>
          <cell r="E453" t="str">
            <v>004512</v>
          </cell>
          <cell r="F453" t="str">
            <v>TIMIZA</v>
          </cell>
        </row>
        <row r="454">
          <cell r="B454" t="str">
            <v>004513</v>
          </cell>
          <cell r="C454">
            <v>7</v>
          </cell>
          <cell r="D454" t="str">
            <v>BOSA</v>
          </cell>
          <cell r="E454" t="str">
            <v>004513</v>
          </cell>
          <cell r="F454" t="str">
            <v>SAN DIEGO-BOSA</v>
          </cell>
        </row>
        <row r="455">
          <cell r="B455" t="str">
            <v>004514</v>
          </cell>
          <cell r="C455">
            <v>8</v>
          </cell>
          <cell r="D455" t="str">
            <v>KENNEDY</v>
          </cell>
          <cell r="E455" t="str">
            <v>004514</v>
          </cell>
          <cell r="F455" t="str">
            <v>CIUDAD KENNEDY NORTE</v>
          </cell>
        </row>
        <row r="456">
          <cell r="B456" t="str">
            <v>004515</v>
          </cell>
          <cell r="C456">
            <v>8</v>
          </cell>
          <cell r="D456" t="str">
            <v>KENNEDY</v>
          </cell>
          <cell r="E456" t="str">
            <v>004515</v>
          </cell>
          <cell r="F456" t="str">
            <v>TUNDAMA</v>
          </cell>
        </row>
        <row r="457">
          <cell r="B457" t="str">
            <v>004516</v>
          </cell>
          <cell r="C457">
            <v>8</v>
          </cell>
          <cell r="D457" t="str">
            <v>KENNEDY</v>
          </cell>
          <cell r="E457" t="str">
            <v>004516</v>
          </cell>
          <cell r="F457" t="str">
            <v>BOITA</v>
          </cell>
        </row>
        <row r="458">
          <cell r="B458" t="str">
            <v>004517</v>
          </cell>
          <cell r="C458">
            <v>8</v>
          </cell>
          <cell r="D458" t="str">
            <v>KENNEDY</v>
          </cell>
          <cell r="E458" t="str">
            <v>004517</v>
          </cell>
          <cell r="F458" t="str">
            <v>JACQUELINE</v>
          </cell>
        </row>
        <row r="459">
          <cell r="B459" t="str">
            <v>004518</v>
          </cell>
          <cell r="C459">
            <v>8</v>
          </cell>
          <cell r="D459" t="str">
            <v>KENNEDY</v>
          </cell>
          <cell r="E459" t="str">
            <v>004518</v>
          </cell>
          <cell r="F459" t="str">
            <v>TIMIZA A</v>
          </cell>
        </row>
        <row r="460">
          <cell r="B460" t="str">
            <v>004519</v>
          </cell>
          <cell r="C460">
            <v>7</v>
          </cell>
          <cell r="D460" t="str">
            <v>BOSA</v>
          </cell>
          <cell r="E460" t="str">
            <v>004519</v>
          </cell>
          <cell r="F460" t="str">
            <v>ESCOCIA</v>
          </cell>
        </row>
        <row r="461">
          <cell r="B461" t="str">
            <v>004520</v>
          </cell>
          <cell r="C461">
            <v>7</v>
          </cell>
          <cell r="D461" t="str">
            <v>BOSA</v>
          </cell>
          <cell r="E461" t="str">
            <v>004520</v>
          </cell>
          <cell r="F461" t="str">
            <v>LA PAZ BOSA</v>
          </cell>
        </row>
        <row r="462">
          <cell r="B462" t="str">
            <v>004521</v>
          </cell>
          <cell r="C462">
            <v>7</v>
          </cell>
          <cell r="D462" t="str">
            <v>BOSA</v>
          </cell>
          <cell r="E462" t="str">
            <v>004521</v>
          </cell>
          <cell r="F462" t="str">
            <v>LA ESTACION BOSA</v>
          </cell>
        </row>
        <row r="463">
          <cell r="B463" t="str">
            <v>004522</v>
          </cell>
          <cell r="C463">
            <v>7</v>
          </cell>
          <cell r="D463" t="str">
            <v>BOSA</v>
          </cell>
          <cell r="E463" t="str">
            <v>004522</v>
          </cell>
          <cell r="F463" t="str">
            <v>BOSA</v>
          </cell>
        </row>
        <row r="464">
          <cell r="B464" t="str">
            <v>004523</v>
          </cell>
          <cell r="C464">
            <v>7</v>
          </cell>
          <cell r="D464" t="str">
            <v>BOSA</v>
          </cell>
          <cell r="E464" t="str">
            <v>004523</v>
          </cell>
          <cell r="F464" t="str">
            <v>JIMENEZ DE QUESADA</v>
          </cell>
        </row>
        <row r="465">
          <cell r="B465" t="str">
            <v>004524</v>
          </cell>
          <cell r="C465">
            <v>7</v>
          </cell>
          <cell r="D465" t="str">
            <v>BOSA</v>
          </cell>
          <cell r="E465" t="str">
            <v>004524</v>
          </cell>
          <cell r="F465" t="str">
            <v>SAN PABLO BOSA</v>
          </cell>
        </row>
        <row r="466">
          <cell r="B466" t="str">
            <v>004525</v>
          </cell>
          <cell r="C466">
            <v>8</v>
          </cell>
          <cell r="D466" t="str">
            <v>KENNEDY</v>
          </cell>
          <cell r="E466" t="str">
            <v>004525</v>
          </cell>
          <cell r="F466" t="str">
            <v>PASTRANA</v>
          </cell>
        </row>
        <row r="467">
          <cell r="B467" t="str">
            <v>004526</v>
          </cell>
          <cell r="C467">
            <v>7</v>
          </cell>
          <cell r="D467" t="str">
            <v>BOSA</v>
          </cell>
          <cell r="E467" t="str">
            <v>004526</v>
          </cell>
          <cell r="F467" t="str">
            <v>BOSA NOVA</v>
          </cell>
        </row>
        <row r="468">
          <cell r="B468" t="str">
            <v>004527</v>
          </cell>
          <cell r="C468">
            <v>7</v>
          </cell>
          <cell r="D468" t="str">
            <v>BOSA</v>
          </cell>
          <cell r="E468" t="str">
            <v>004527</v>
          </cell>
          <cell r="F468" t="str">
            <v>NUEVA GRANADA BOSA</v>
          </cell>
        </row>
        <row r="469">
          <cell r="B469" t="str">
            <v>004528</v>
          </cell>
          <cell r="C469">
            <v>7</v>
          </cell>
          <cell r="D469" t="str">
            <v>BOSA</v>
          </cell>
          <cell r="E469" t="str">
            <v>004528</v>
          </cell>
          <cell r="F469" t="str">
            <v>PASO ANCHO</v>
          </cell>
        </row>
        <row r="470">
          <cell r="B470" t="str">
            <v>004529</v>
          </cell>
          <cell r="C470">
            <v>7</v>
          </cell>
          <cell r="D470" t="str">
            <v>BOSA</v>
          </cell>
          <cell r="E470" t="str">
            <v>004529</v>
          </cell>
          <cell r="F470" t="str">
            <v>CEMENTERIO JARDINES APOGEO</v>
          </cell>
        </row>
        <row r="471">
          <cell r="B471" t="str">
            <v>004530</v>
          </cell>
          <cell r="C471">
            <v>8</v>
          </cell>
          <cell r="D471" t="str">
            <v>KENNEDY</v>
          </cell>
          <cell r="E471" t="str">
            <v>004530</v>
          </cell>
          <cell r="F471" t="str">
            <v>TIMIZA B</v>
          </cell>
        </row>
        <row r="472">
          <cell r="B472" t="str">
            <v>004531</v>
          </cell>
          <cell r="C472">
            <v>8</v>
          </cell>
          <cell r="D472" t="str">
            <v>KENNEDY</v>
          </cell>
          <cell r="E472" t="str">
            <v>004531</v>
          </cell>
          <cell r="F472" t="str">
            <v>MANDALAY</v>
          </cell>
        </row>
        <row r="473">
          <cell r="B473" t="str">
            <v>004532</v>
          </cell>
          <cell r="C473">
            <v>8</v>
          </cell>
          <cell r="D473" t="str">
            <v>KENNEDY</v>
          </cell>
          <cell r="E473" t="str">
            <v>004532</v>
          </cell>
          <cell r="F473" t="str">
            <v>LA CECILIA</v>
          </cell>
        </row>
        <row r="474">
          <cell r="B474" t="str">
            <v>004533</v>
          </cell>
          <cell r="C474">
            <v>7</v>
          </cell>
          <cell r="D474" t="str">
            <v>BOSA</v>
          </cell>
          <cell r="E474" t="str">
            <v>004533</v>
          </cell>
          <cell r="F474" t="str">
            <v>EL RETAZO</v>
          </cell>
        </row>
        <row r="475">
          <cell r="B475" t="str">
            <v>004534</v>
          </cell>
          <cell r="C475">
            <v>8</v>
          </cell>
          <cell r="D475" t="str">
            <v>KENNEDY</v>
          </cell>
          <cell r="E475" t="str">
            <v>004534</v>
          </cell>
          <cell r="F475" t="str">
            <v>ROMA</v>
          </cell>
        </row>
        <row r="476">
          <cell r="B476" t="str">
            <v>004535</v>
          </cell>
          <cell r="C476">
            <v>8</v>
          </cell>
          <cell r="D476" t="str">
            <v>KENNEDY</v>
          </cell>
          <cell r="E476" t="str">
            <v>004535</v>
          </cell>
          <cell r="F476" t="str">
            <v>CLASS</v>
          </cell>
        </row>
        <row r="477">
          <cell r="B477" t="str">
            <v>004536</v>
          </cell>
          <cell r="C477">
            <v>8</v>
          </cell>
          <cell r="D477" t="str">
            <v>KENNEDY</v>
          </cell>
          <cell r="E477" t="str">
            <v>004536</v>
          </cell>
          <cell r="F477" t="str">
            <v>EL RUBI</v>
          </cell>
        </row>
        <row r="478">
          <cell r="B478" t="str">
            <v>004537</v>
          </cell>
          <cell r="C478">
            <v>8</v>
          </cell>
          <cell r="D478" t="str">
            <v>KENNEDY</v>
          </cell>
          <cell r="E478" t="str">
            <v>004537</v>
          </cell>
          <cell r="F478" t="str">
            <v>CASABLANCA</v>
          </cell>
        </row>
        <row r="479">
          <cell r="B479" t="str">
            <v>004538</v>
          </cell>
          <cell r="C479">
            <v>7</v>
          </cell>
          <cell r="D479" t="str">
            <v>BOSA</v>
          </cell>
          <cell r="E479" t="str">
            <v>004538</v>
          </cell>
          <cell r="F479" t="str">
            <v>OLARTE</v>
          </cell>
        </row>
        <row r="480">
          <cell r="B480" t="str">
            <v>004539</v>
          </cell>
          <cell r="C480">
            <v>7</v>
          </cell>
          <cell r="D480" t="str">
            <v>BOSA</v>
          </cell>
          <cell r="E480" t="str">
            <v>004539</v>
          </cell>
          <cell r="F480" t="str">
            <v>GRAN COLOMBIANO</v>
          </cell>
        </row>
        <row r="481">
          <cell r="B481" t="str">
            <v>004540</v>
          </cell>
          <cell r="C481">
            <v>8</v>
          </cell>
          <cell r="D481" t="str">
            <v>KENNEDY</v>
          </cell>
          <cell r="E481" t="str">
            <v>004540</v>
          </cell>
          <cell r="F481" t="str">
            <v>CATALINA II</v>
          </cell>
        </row>
        <row r="482">
          <cell r="B482" t="str">
            <v>004541</v>
          </cell>
          <cell r="C482">
            <v>8</v>
          </cell>
          <cell r="D482" t="str">
            <v>KENNEDY</v>
          </cell>
          <cell r="E482" t="str">
            <v>004541</v>
          </cell>
          <cell r="F482" t="str">
            <v>EL PARAISO BOSA</v>
          </cell>
        </row>
        <row r="483">
          <cell r="B483" t="str">
            <v>004542</v>
          </cell>
          <cell r="C483">
            <v>8</v>
          </cell>
          <cell r="D483" t="str">
            <v>KENNEDY</v>
          </cell>
          <cell r="E483" t="str">
            <v>004542</v>
          </cell>
          <cell r="F483" t="str">
            <v>ALQUERIA LA FRAGUA NORTE</v>
          </cell>
        </row>
        <row r="484">
          <cell r="B484" t="str">
            <v>004543</v>
          </cell>
          <cell r="C484">
            <v>8</v>
          </cell>
          <cell r="D484" t="str">
            <v>KENNEDY</v>
          </cell>
          <cell r="E484" t="str">
            <v>004543</v>
          </cell>
          <cell r="F484" t="str">
            <v>ALQUERIA LA FRAGUA</v>
          </cell>
        </row>
        <row r="485">
          <cell r="B485" t="str">
            <v>004544</v>
          </cell>
          <cell r="C485">
            <v>8</v>
          </cell>
          <cell r="D485" t="str">
            <v>KENNEDY</v>
          </cell>
          <cell r="E485" t="str">
            <v>004544</v>
          </cell>
          <cell r="F485" t="str">
            <v>LAS DELICIAS</v>
          </cell>
        </row>
        <row r="486">
          <cell r="B486" t="str">
            <v>004545</v>
          </cell>
          <cell r="C486">
            <v>8</v>
          </cell>
          <cell r="D486" t="str">
            <v>KENNEDY</v>
          </cell>
          <cell r="E486" t="str">
            <v>004545</v>
          </cell>
          <cell r="F486" t="str">
            <v>CATALINA</v>
          </cell>
        </row>
        <row r="487">
          <cell r="B487" t="str">
            <v>004546</v>
          </cell>
          <cell r="C487">
            <v>7</v>
          </cell>
          <cell r="D487" t="str">
            <v>BOSA</v>
          </cell>
          <cell r="E487" t="str">
            <v>004546</v>
          </cell>
          <cell r="F487" t="str">
            <v>VILLA DEL RIO</v>
          </cell>
        </row>
        <row r="488">
          <cell r="B488" t="str">
            <v>004547</v>
          </cell>
          <cell r="C488">
            <v>8</v>
          </cell>
          <cell r="D488" t="str">
            <v>KENNEDY</v>
          </cell>
          <cell r="E488" t="str">
            <v>004547</v>
          </cell>
          <cell r="F488" t="str">
            <v>CORABASTOS</v>
          </cell>
        </row>
        <row r="489">
          <cell r="B489" t="str">
            <v>004548</v>
          </cell>
          <cell r="C489">
            <v>8</v>
          </cell>
          <cell r="D489" t="str">
            <v>KENNEDY</v>
          </cell>
          <cell r="E489" t="str">
            <v>004548</v>
          </cell>
          <cell r="F489" t="str">
            <v>TECHO</v>
          </cell>
        </row>
        <row r="490">
          <cell r="B490" t="str">
            <v>004549</v>
          </cell>
          <cell r="C490">
            <v>8</v>
          </cell>
          <cell r="D490" t="str">
            <v>KENNEDY</v>
          </cell>
          <cell r="E490" t="str">
            <v>004549</v>
          </cell>
          <cell r="F490" t="str">
            <v>NUEVA YORK</v>
          </cell>
        </row>
        <row r="491">
          <cell r="B491" t="str">
            <v>004550</v>
          </cell>
          <cell r="C491">
            <v>7</v>
          </cell>
          <cell r="D491" t="str">
            <v>BOSA</v>
          </cell>
          <cell r="E491" t="str">
            <v>004550</v>
          </cell>
          <cell r="F491" t="str">
            <v>JOSE MARIA CARBONEL</v>
          </cell>
        </row>
        <row r="492">
          <cell r="B492" t="str">
            <v>004551</v>
          </cell>
          <cell r="C492">
            <v>8</v>
          </cell>
          <cell r="D492" t="str">
            <v>KENNEDY</v>
          </cell>
          <cell r="E492" t="str">
            <v>004551</v>
          </cell>
          <cell r="F492" t="str">
            <v>HIPOTECHO SUR</v>
          </cell>
        </row>
        <row r="493">
          <cell r="B493" t="str">
            <v>004552</v>
          </cell>
          <cell r="C493">
            <v>7</v>
          </cell>
          <cell r="D493" t="str">
            <v>BOSA</v>
          </cell>
          <cell r="E493" t="str">
            <v>004552</v>
          </cell>
          <cell r="F493" t="str">
            <v>GUALOCHE</v>
          </cell>
        </row>
        <row r="494">
          <cell r="B494" t="str">
            <v>004553</v>
          </cell>
          <cell r="C494">
            <v>7</v>
          </cell>
          <cell r="D494" t="str">
            <v>BOSA</v>
          </cell>
          <cell r="E494" t="str">
            <v>004553</v>
          </cell>
          <cell r="F494" t="str">
            <v>ANDALUCIA II</v>
          </cell>
        </row>
        <row r="495">
          <cell r="B495" t="str">
            <v>004554</v>
          </cell>
          <cell r="C495">
            <v>8</v>
          </cell>
          <cell r="D495" t="str">
            <v>KENNEDY</v>
          </cell>
          <cell r="E495" t="str">
            <v>004554</v>
          </cell>
          <cell r="F495" t="str">
            <v>PATIO BONITO</v>
          </cell>
        </row>
        <row r="496">
          <cell r="B496" t="str">
            <v>004555</v>
          </cell>
          <cell r="C496">
            <v>8</v>
          </cell>
          <cell r="D496" t="str">
            <v>KENNEDY</v>
          </cell>
          <cell r="E496" t="str">
            <v>004555</v>
          </cell>
          <cell r="F496" t="str">
            <v>PATIO BONITO II</v>
          </cell>
        </row>
        <row r="497">
          <cell r="B497" t="str">
            <v>004556</v>
          </cell>
          <cell r="C497">
            <v>8</v>
          </cell>
          <cell r="D497" t="str">
            <v>KENNEDY</v>
          </cell>
          <cell r="E497" t="str">
            <v>004556</v>
          </cell>
          <cell r="F497" t="str">
            <v>GRAN BRITALIA I</v>
          </cell>
        </row>
        <row r="498">
          <cell r="B498" t="str">
            <v>004557</v>
          </cell>
          <cell r="C498">
            <v>8</v>
          </cell>
          <cell r="D498" t="str">
            <v>KENNEDY</v>
          </cell>
          <cell r="E498" t="str">
            <v>004557</v>
          </cell>
          <cell r="F498" t="str">
            <v>GRAN BRITALIA</v>
          </cell>
        </row>
        <row r="499">
          <cell r="B499" t="str">
            <v>004558</v>
          </cell>
          <cell r="C499">
            <v>8</v>
          </cell>
          <cell r="D499" t="str">
            <v>KENNEDY</v>
          </cell>
          <cell r="E499" t="str">
            <v>004558</v>
          </cell>
          <cell r="F499" t="str">
            <v>CAMPO HERMOSO</v>
          </cell>
        </row>
        <row r="500">
          <cell r="B500" t="str">
            <v>004559</v>
          </cell>
          <cell r="C500">
            <v>8</v>
          </cell>
          <cell r="D500" t="str">
            <v>KENNEDY</v>
          </cell>
          <cell r="E500" t="str">
            <v>004559</v>
          </cell>
          <cell r="F500" t="str">
            <v>EL CARMELO</v>
          </cell>
        </row>
        <row r="501">
          <cell r="B501" t="str">
            <v>004560</v>
          </cell>
          <cell r="C501">
            <v>8</v>
          </cell>
          <cell r="D501" t="str">
            <v>KENNEDY</v>
          </cell>
          <cell r="E501" t="str">
            <v>004560</v>
          </cell>
          <cell r="F501" t="str">
            <v>SAUCEDAL</v>
          </cell>
        </row>
        <row r="502">
          <cell r="B502" t="str">
            <v>004561</v>
          </cell>
          <cell r="C502">
            <v>7</v>
          </cell>
          <cell r="D502" t="str">
            <v>BOSA</v>
          </cell>
          <cell r="E502" t="str">
            <v>004561</v>
          </cell>
          <cell r="F502" t="str">
            <v>EL JARDIN</v>
          </cell>
        </row>
        <row r="503">
          <cell r="B503" t="str">
            <v>004562</v>
          </cell>
          <cell r="C503">
            <v>8</v>
          </cell>
          <cell r="D503" t="str">
            <v>KENNEDY</v>
          </cell>
          <cell r="E503" t="str">
            <v>004562</v>
          </cell>
          <cell r="F503" t="str">
            <v>LLANO GRANDE</v>
          </cell>
        </row>
        <row r="504">
          <cell r="B504" t="str">
            <v>004563</v>
          </cell>
          <cell r="C504">
            <v>19</v>
          </cell>
          <cell r="D504" t="str">
            <v>CIUDAD BOLIVAR</v>
          </cell>
          <cell r="E504" t="str">
            <v>004563</v>
          </cell>
          <cell r="F504" t="str">
            <v>GUADALUPE</v>
          </cell>
        </row>
        <row r="505">
          <cell r="B505" t="str">
            <v>004564</v>
          </cell>
          <cell r="C505">
            <v>8</v>
          </cell>
          <cell r="D505" t="str">
            <v>KENNEDY</v>
          </cell>
          <cell r="E505" t="str">
            <v>004564</v>
          </cell>
          <cell r="F505" t="str">
            <v>TAIRONA</v>
          </cell>
        </row>
        <row r="506">
          <cell r="B506" t="str">
            <v>004565</v>
          </cell>
          <cell r="C506">
            <v>8</v>
          </cell>
          <cell r="D506" t="str">
            <v>KENNEDY</v>
          </cell>
          <cell r="E506" t="str">
            <v>004565</v>
          </cell>
          <cell r="F506" t="str">
            <v>TOCAREMA</v>
          </cell>
        </row>
        <row r="507">
          <cell r="B507" t="str">
            <v>004566</v>
          </cell>
          <cell r="C507">
            <v>8</v>
          </cell>
          <cell r="D507" t="str">
            <v>KENNEDY</v>
          </cell>
          <cell r="E507" t="str">
            <v>004566</v>
          </cell>
          <cell r="F507" t="str">
            <v>PATIO BONITO III</v>
          </cell>
        </row>
        <row r="508">
          <cell r="B508" t="str">
            <v>004567</v>
          </cell>
          <cell r="C508">
            <v>7</v>
          </cell>
          <cell r="D508" t="str">
            <v>BOSA</v>
          </cell>
          <cell r="E508" t="str">
            <v>004567</v>
          </cell>
          <cell r="F508" t="str">
            <v>VILLAS DEL PROGRESO</v>
          </cell>
        </row>
        <row r="509">
          <cell r="B509" t="str">
            <v>004568</v>
          </cell>
          <cell r="C509">
            <v>7</v>
          </cell>
          <cell r="D509" t="str">
            <v>BOSA</v>
          </cell>
          <cell r="E509" t="str">
            <v>004568</v>
          </cell>
          <cell r="F509" t="str">
            <v>JORGE URIBE BOTERO</v>
          </cell>
        </row>
        <row r="510">
          <cell r="B510" t="str">
            <v>004569</v>
          </cell>
          <cell r="C510">
            <v>7</v>
          </cell>
          <cell r="D510" t="str">
            <v>BOSA</v>
          </cell>
          <cell r="E510" t="str">
            <v>004569</v>
          </cell>
          <cell r="F510" t="str">
            <v>JOSE ANTONIO GALAN</v>
          </cell>
        </row>
        <row r="511">
          <cell r="B511" t="str">
            <v>004570</v>
          </cell>
          <cell r="C511">
            <v>7</v>
          </cell>
          <cell r="D511" t="str">
            <v>BOSA</v>
          </cell>
          <cell r="E511" t="str">
            <v>004570</v>
          </cell>
          <cell r="F511" t="str">
            <v>ANTONIA SANTOS</v>
          </cell>
        </row>
        <row r="512">
          <cell r="B512" t="str">
            <v>004572</v>
          </cell>
          <cell r="C512">
            <v>7</v>
          </cell>
          <cell r="D512" t="str">
            <v>BOSA</v>
          </cell>
          <cell r="E512" t="str">
            <v>004572</v>
          </cell>
          <cell r="F512" t="str">
            <v>CORREDOR FERREO DEL SUR</v>
          </cell>
        </row>
        <row r="513">
          <cell r="B513" t="str">
            <v>004573</v>
          </cell>
          <cell r="C513">
            <v>7</v>
          </cell>
          <cell r="D513" t="str">
            <v>BOSA</v>
          </cell>
          <cell r="E513" t="str">
            <v>004573</v>
          </cell>
          <cell r="F513" t="str">
            <v>CIUDADELA EL RECREO</v>
          </cell>
        </row>
        <row r="514">
          <cell r="B514" t="str">
            <v>004574</v>
          </cell>
          <cell r="C514">
            <v>7</v>
          </cell>
          <cell r="D514" t="str">
            <v>BOSA</v>
          </cell>
          <cell r="E514" t="str">
            <v>004574</v>
          </cell>
          <cell r="F514" t="str">
            <v>CHARLES DE GAULLE</v>
          </cell>
        </row>
        <row r="515">
          <cell r="B515" t="str">
            <v>004575</v>
          </cell>
          <cell r="C515">
            <v>7</v>
          </cell>
          <cell r="D515" t="str">
            <v>BOSA</v>
          </cell>
          <cell r="E515" t="str">
            <v>004575</v>
          </cell>
          <cell r="F515" t="str">
            <v>LOS LAURELES</v>
          </cell>
        </row>
        <row r="516">
          <cell r="B516" t="str">
            <v>004576</v>
          </cell>
          <cell r="C516">
            <v>8</v>
          </cell>
          <cell r="D516" t="str">
            <v>KENNEDY</v>
          </cell>
          <cell r="E516" t="str">
            <v>004576</v>
          </cell>
          <cell r="F516" t="str">
            <v>CASA BLANCA SUR</v>
          </cell>
        </row>
        <row r="517">
          <cell r="B517" t="str">
            <v>004577</v>
          </cell>
          <cell r="C517">
            <v>7</v>
          </cell>
          <cell r="D517" t="str">
            <v>BOSA</v>
          </cell>
          <cell r="E517" t="str">
            <v>004577</v>
          </cell>
          <cell r="F517" t="str">
            <v>SAN BERNARDINO XXII URBANO</v>
          </cell>
        </row>
        <row r="518">
          <cell r="B518" t="str">
            <v>004578</v>
          </cell>
          <cell r="C518">
            <v>8</v>
          </cell>
          <cell r="D518" t="str">
            <v>KENNEDY</v>
          </cell>
          <cell r="E518" t="str">
            <v>004578</v>
          </cell>
          <cell r="F518" t="str">
            <v>VILLA NELLY III SECTOR</v>
          </cell>
        </row>
        <row r="519">
          <cell r="B519" t="str">
            <v>004579</v>
          </cell>
          <cell r="C519">
            <v>7</v>
          </cell>
          <cell r="D519" t="str">
            <v>BOSA</v>
          </cell>
          <cell r="E519" t="str">
            <v>004579</v>
          </cell>
          <cell r="F519" t="str">
            <v>ESCOCIA</v>
          </cell>
        </row>
        <row r="520">
          <cell r="B520" t="str">
            <v>004580</v>
          </cell>
          <cell r="C520">
            <v>7</v>
          </cell>
          <cell r="D520" t="str">
            <v>BOSA</v>
          </cell>
          <cell r="E520" t="str">
            <v>004580</v>
          </cell>
          <cell r="F520" t="str">
            <v>BOSA NOVA EL PORVENIR</v>
          </cell>
        </row>
        <row r="521">
          <cell r="B521" t="str">
            <v>004581</v>
          </cell>
          <cell r="C521">
            <v>8</v>
          </cell>
          <cell r="D521" t="str">
            <v>KENNEDY</v>
          </cell>
          <cell r="E521" t="str">
            <v>004581</v>
          </cell>
          <cell r="F521" t="str">
            <v>TIMIZA C</v>
          </cell>
        </row>
        <row r="522">
          <cell r="B522" t="str">
            <v>004582</v>
          </cell>
          <cell r="C522">
            <v>8</v>
          </cell>
          <cell r="D522" t="str">
            <v>KENNEDY</v>
          </cell>
          <cell r="E522" t="str">
            <v>004582</v>
          </cell>
          <cell r="F522" t="str">
            <v>RENANIA URAPANES</v>
          </cell>
        </row>
        <row r="523">
          <cell r="B523" t="str">
            <v>004583</v>
          </cell>
          <cell r="C523">
            <v>7</v>
          </cell>
          <cell r="D523" t="str">
            <v>BOSA</v>
          </cell>
          <cell r="E523" t="str">
            <v>004583</v>
          </cell>
          <cell r="F523" t="str">
            <v>ARGELIA II</v>
          </cell>
        </row>
        <row r="524">
          <cell r="B524" t="str">
            <v>004584</v>
          </cell>
          <cell r="C524">
            <v>8</v>
          </cell>
          <cell r="D524" t="str">
            <v>KENNEDY</v>
          </cell>
          <cell r="E524" t="str">
            <v>004584</v>
          </cell>
          <cell r="F524" t="str">
            <v>SANTA CATALINA</v>
          </cell>
        </row>
        <row r="525">
          <cell r="B525" t="str">
            <v>004586</v>
          </cell>
          <cell r="C525">
            <v>7</v>
          </cell>
          <cell r="D525" t="str">
            <v>BOSA</v>
          </cell>
          <cell r="E525" t="str">
            <v>004586</v>
          </cell>
          <cell r="F525" t="str">
            <v>JIMENEZ DE QUESADA II SECTOR</v>
          </cell>
        </row>
        <row r="526">
          <cell r="B526" t="str">
            <v>004587</v>
          </cell>
          <cell r="C526">
            <v>7</v>
          </cell>
          <cell r="D526" t="str">
            <v>BOSA</v>
          </cell>
          <cell r="E526" t="str">
            <v>004587</v>
          </cell>
          <cell r="F526" t="str">
            <v>LOS SAUCES</v>
          </cell>
        </row>
        <row r="527">
          <cell r="B527" t="str">
            <v>004588</v>
          </cell>
          <cell r="C527">
            <v>7</v>
          </cell>
          <cell r="D527" t="str">
            <v>BOSA</v>
          </cell>
          <cell r="E527" t="str">
            <v>004588</v>
          </cell>
          <cell r="F527" t="str">
            <v>EL DANUBIO AZUL</v>
          </cell>
        </row>
        <row r="528">
          <cell r="B528" t="str">
            <v>004589</v>
          </cell>
          <cell r="C528">
            <v>7</v>
          </cell>
          <cell r="D528" t="str">
            <v>BOSA</v>
          </cell>
          <cell r="E528" t="str">
            <v>004589</v>
          </cell>
          <cell r="F528" t="str">
            <v>SAN PEDRO</v>
          </cell>
        </row>
        <row r="529">
          <cell r="B529" t="str">
            <v>004590</v>
          </cell>
          <cell r="C529">
            <v>7</v>
          </cell>
          <cell r="D529" t="str">
            <v>BOSA</v>
          </cell>
          <cell r="E529" t="str">
            <v>004590</v>
          </cell>
          <cell r="F529" t="str">
            <v>SAN BERNARDINO XXV URBANO</v>
          </cell>
        </row>
        <row r="530">
          <cell r="B530" t="str">
            <v>004591</v>
          </cell>
          <cell r="C530">
            <v>7</v>
          </cell>
          <cell r="D530" t="str">
            <v>BOSA</v>
          </cell>
          <cell r="E530" t="str">
            <v>004591</v>
          </cell>
          <cell r="F530" t="str">
            <v>EL PORTAL DEL BRASIL</v>
          </cell>
        </row>
        <row r="531">
          <cell r="B531" t="str">
            <v>004592</v>
          </cell>
          <cell r="C531">
            <v>7</v>
          </cell>
          <cell r="D531" t="str">
            <v>BOSA</v>
          </cell>
          <cell r="E531" t="str">
            <v>004592</v>
          </cell>
          <cell r="F531" t="str">
            <v>SAN MARTIN</v>
          </cell>
        </row>
        <row r="532">
          <cell r="B532" t="str">
            <v>004593</v>
          </cell>
          <cell r="C532">
            <v>7</v>
          </cell>
          <cell r="D532" t="str">
            <v>BOSA</v>
          </cell>
          <cell r="E532" t="str">
            <v>004593</v>
          </cell>
          <cell r="F532" t="str">
            <v>LA LIBERTAD</v>
          </cell>
        </row>
        <row r="533">
          <cell r="B533" t="str">
            <v>004594</v>
          </cell>
          <cell r="C533">
            <v>7</v>
          </cell>
          <cell r="D533" t="str">
            <v>BOSA</v>
          </cell>
          <cell r="E533" t="str">
            <v>004594</v>
          </cell>
          <cell r="F533" t="str">
            <v>SAN ANTONIO</v>
          </cell>
        </row>
        <row r="534">
          <cell r="B534" t="str">
            <v>004595</v>
          </cell>
          <cell r="C534">
            <v>7</v>
          </cell>
          <cell r="D534" t="str">
            <v>BOSA</v>
          </cell>
          <cell r="E534" t="str">
            <v>004595</v>
          </cell>
          <cell r="F534" t="str">
            <v>CHICO SUR</v>
          </cell>
        </row>
        <row r="535">
          <cell r="B535" t="str">
            <v>004596</v>
          </cell>
          <cell r="C535">
            <v>8</v>
          </cell>
          <cell r="D535" t="str">
            <v>KENNEDY</v>
          </cell>
          <cell r="E535" t="str">
            <v>004596</v>
          </cell>
          <cell r="F535" t="str">
            <v>ALQUERIA LA FRAGUA II</v>
          </cell>
        </row>
        <row r="536">
          <cell r="B536" t="str">
            <v>004597</v>
          </cell>
          <cell r="C536">
            <v>7</v>
          </cell>
          <cell r="D536" t="str">
            <v>BOSA</v>
          </cell>
          <cell r="E536" t="str">
            <v>004597</v>
          </cell>
          <cell r="F536" t="str">
            <v>SAN BERNARDINO I</v>
          </cell>
        </row>
        <row r="537">
          <cell r="B537" t="str">
            <v>004598</v>
          </cell>
          <cell r="C537">
            <v>7</v>
          </cell>
          <cell r="D537" t="str">
            <v>BOSA</v>
          </cell>
          <cell r="E537" t="str">
            <v>004598</v>
          </cell>
          <cell r="F537" t="str">
            <v>VILLA ANNY I</v>
          </cell>
        </row>
        <row r="538">
          <cell r="B538" t="str">
            <v>004599</v>
          </cell>
          <cell r="C538">
            <v>7</v>
          </cell>
          <cell r="D538" t="str">
            <v>BOSA</v>
          </cell>
          <cell r="E538" t="str">
            <v>004599</v>
          </cell>
          <cell r="F538" t="str">
            <v>VILLA ANNY II</v>
          </cell>
        </row>
        <row r="539">
          <cell r="B539" t="str">
            <v>004601</v>
          </cell>
          <cell r="C539">
            <v>8</v>
          </cell>
          <cell r="D539" t="str">
            <v>KENNEDY</v>
          </cell>
          <cell r="E539" t="str">
            <v>004601</v>
          </cell>
          <cell r="F539" t="str">
            <v>CALANDAIMA</v>
          </cell>
        </row>
        <row r="540">
          <cell r="B540" t="str">
            <v>004602</v>
          </cell>
          <cell r="C540">
            <v>7</v>
          </cell>
          <cell r="D540" t="str">
            <v>BOSA</v>
          </cell>
          <cell r="E540" t="str">
            <v>004602</v>
          </cell>
          <cell r="F540" t="str">
            <v>REMANSO URBANO</v>
          </cell>
        </row>
        <row r="541">
          <cell r="B541" t="str">
            <v>004603</v>
          </cell>
          <cell r="C541">
            <v>8</v>
          </cell>
          <cell r="D541" t="str">
            <v>KENNEDY</v>
          </cell>
          <cell r="E541" t="str">
            <v>004603</v>
          </cell>
          <cell r="F541" t="str">
            <v>EL PARAISO</v>
          </cell>
        </row>
        <row r="542">
          <cell r="B542" t="str">
            <v>004604</v>
          </cell>
          <cell r="C542">
            <v>7</v>
          </cell>
          <cell r="D542" t="str">
            <v>BOSA</v>
          </cell>
          <cell r="E542" t="str">
            <v>004604</v>
          </cell>
          <cell r="F542" t="str">
            <v>BRASILIA</v>
          </cell>
        </row>
        <row r="543">
          <cell r="B543" t="str">
            <v>004605</v>
          </cell>
          <cell r="C543">
            <v>7</v>
          </cell>
          <cell r="D543" t="str">
            <v>BOSA</v>
          </cell>
          <cell r="E543" t="str">
            <v>004605</v>
          </cell>
          <cell r="F543" t="str">
            <v>CHICALA</v>
          </cell>
        </row>
        <row r="544">
          <cell r="B544" t="str">
            <v>004607</v>
          </cell>
          <cell r="C544">
            <v>8</v>
          </cell>
          <cell r="D544" t="str">
            <v>KENNEDY</v>
          </cell>
          <cell r="E544" t="str">
            <v>004607</v>
          </cell>
          <cell r="F544" t="str">
            <v>CIUDAD DE CALI</v>
          </cell>
        </row>
        <row r="545">
          <cell r="B545" t="str">
            <v>004609</v>
          </cell>
          <cell r="C545">
            <v>8</v>
          </cell>
          <cell r="D545" t="str">
            <v>KENNEDY</v>
          </cell>
          <cell r="E545" t="str">
            <v>004609</v>
          </cell>
          <cell r="F545" t="str">
            <v>LOS ALMENDROS</v>
          </cell>
        </row>
        <row r="546">
          <cell r="B546" t="str">
            <v>004611</v>
          </cell>
          <cell r="C546">
            <v>8</v>
          </cell>
          <cell r="D546" t="str">
            <v>KENNEDY</v>
          </cell>
          <cell r="E546" t="str">
            <v>004611</v>
          </cell>
          <cell r="F546" t="str">
            <v>EL JAZMIN</v>
          </cell>
        </row>
        <row r="547">
          <cell r="B547" t="str">
            <v>004612</v>
          </cell>
          <cell r="C547">
            <v>8</v>
          </cell>
          <cell r="D547" t="str">
            <v>KENNEDY</v>
          </cell>
          <cell r="E547" t="str">
            <v>004612</v>
          </cell>
          <cell r="F547" t="str">
            <v>DINDALITO</v>
          </cell>
        </row>
        <row r="548">
          <cell r="B548" t="str">
            <v>004613</v>
          </cell>
          <cell r="C548">
            <v>8</v>
          </cell>
          <cell r="D548" t="str">
            <v>KENNEDY</v>
          </cell>
          <cell r="E548" t="str">
            <v>004613</v>
          </cell>
          <cell r="F548" t="str">
            <v>PROVIVIENDA OCCIDENTAL</v>
          </cell>
        </row>
        <row r="549">
          <cell r="B549" t="str">
            <v>004614</v>
          </cell>
          <cell r="C549">
            <v>8</v>
          </cell>
          <cell r="D549" t="str">
            <v>KENNEDY</v>
          </cell>
          <cell r="E549" t="str">
            <v>004614</v>
          </cell>
          <cell r="F549" t="str">
            <v>DINDALITO</v>
          </cell>
        </row>
        <row r="550">
          <cell r="B550" t="str">
            <v>004615</v>
          </cell>
          <cell r="C550">
            <v>8</v>
          </cell>
          <cell r="D550" t="str">
            <v>KENNEDY</v>
          </cell>
          <cell r="E550" t="str">
            <v>004615</v>
          </cell>
          <cell r="F550" t="str">
            <v>OSORIO XII</v>
          </cell>
        </row>
        <row r="551">
          <cell r="B551" t="str">
            <v>004616</v>
          </cell>
          <cell r="C551">
            <v>7</v>
          </cell>
          <cell r="D551" t="str">
            <v>BOSA</v>
          </cell>
          <cell r="E551" t="str">
            <v>004616</v>
          </cell>
          <cell r="F551" t="str">
            <v>OSORIO X URBANO</v>
          </cell>
        </row>
        <row r="552">
          <cell r="B552" t="str">
            <v>004617</v>
          </cell>
          <cell r="C552">
            <v>8</v>
          </cell>
          <cell r="D552" t="str">
            <v>KENNEDY</v>
          </cell>
          <cell r="E552" t="str">
            <v>004617</v>
          </cell>
          <cell r="F552" t="str">
            <v>TINTALITO</v>
          </cell>
        </row>
        <row r="553">
          <cell r="B553" t="str">
            <v>004618</v>
          </cell>
          <cell r="C553">
            <v>8</v>
          </cell>
          <cell r="D553" t="str">
            <v>KENNEDY</v>
          </cell>
          <cell r="E553" t="str">
            <v>004618</v>
          </cell>
          <cell r="F553" t="str">
            <v>DINTALITO</v>
          </cell>
        </row>
        <row r="554">
          <cell r="B554" t="str">
            <v>004619</v>
          </cell>
          <cell r="C554">
            <v>8</v>
          </cell>
          <cell r="D554" t="str">
            <v>KENNEDY</v>
          </cell>
          <cell r="E554" t="str">
            <v>004619</v>
          </cell>
          <cell r="F554" t="str">
            <v>CHUCUA DE LA VACA III</v>
          </cell>
        </row>
        <row r="555">
          <cell r="B555" t="str">
            <v>004620</v>
          </cell>
          <cell r="C555">
            <v>8</v>
          </cell>
          <cell r="D555" t="str">
            <v>KENNEDY</v>
          </cell>
          <cell r="E555" t="str">
            <v>004620</v>
          </cell>
          <cell r="F555" t="str">
            <v>CHUCUA DE LA VACA II</v>
          </cell>
        </row>
        <row r="556">
          <cell r="B556" t="str">
            <v>004621</v>
          </cell>
          <cell r="C556">
            <v>8</v>
          </cell>
          <cell r="D556" t="str">
            <v>KENNEDY</v>
          </cell>
          <cell r="E556" t="str">
            <v>004621</v>
          </cell>
          <cell r="F556" t="str">
            <v>CHUCUA DE LA VACA I</v>
          </cell>
        </row>
        <row r="557">
          <cell r="B557" t="str">
            <v>004622</v>
          </cell>
          <cell r="C557">
            <v>7</v>
          </cell>
          <cell r="D557" t="str">
            <v>BOSA</v>
          </cell>
          <cell r="E557" t="str">
            <v>004622</v>
          </cell>
          <cell r="F557" t="str">
            <v>BRASIL</v>
          </cell>
        </row>
        <row r="558">
          <cell r="B558" t="str">
            <v>004623</v>
          </cell>
          <cell r="C558">
            <v>7</v>
          </cell>
          <cell r="D558" t="str">
            <v>BOSA</v>
          </cell>
          <cell r="E558" t="str">
            <v>004623</v>
          </cell>
          <cell r="F558" t="str">
            <v>SAN BERNARDINO POTRERITOS</v>
          </cell>
        </row>
        <row r="559">
          <cell r="B559" t="str">
            <v>004624</v>
          </cell>
          <cell r="C559">
            <v>7</v>
          </cell>
          <cell r="D559" t="str">
            <v>BOSA</v>
          </cell>
          <cell r="E559" t="str">
            <v>004624</v>
          </cell>
          <cell r="F559" t="str">
            <v>LA VEGA SAN BERNARDINO</v>
          </cell>
        </row>
        <row r="560">
          <cell r="B560" t="str">
            <v>004625</v>
          </cell>
          <cell r="C560">
            <v>7</v>
          </cell>
          <cell r="D560" t="str">
            <v>BOSA</v>
          </cell>
          <cell r="E560" t="str">
            <v>004625</v>
          </cell>
          <cell r="F560" t="str">
            <v>EL REMANSO I</v>
          </cell>
        </row>
        <row r="561">
          <cell r="B561" t="str">
            <v>004626</v>
          </cell>
          <cell r="C561">
            <v>8</v>
          </cell>
          <cell r="D561" t="str">
            <v>KENNEDY</v>
          </cell>
          <cell r="E561" t="str">
            <v>004626</v>
          </cell>
          <cell r="F561" t="str">
            <v>LAS ACACIAS</v>
          </cell>
        </row>
        <row r="562">
          <cell r="B562" t="str">
            <v>004627</v>
          </cell>
          <cell r="C562">
            <v>8</v>
          </cell>
          <cell r="D562" t="str">
            <v>KENNEDY</v>
          </cell>
          <cell r="E562" t="str">
            <v>004627</v>
          </cell>
          <cell r="F562" t="str">
            <v>GALAN</v>
          </cell>
        </row>
        <row r="563">
          <cell r="B563" t="str">
            <v>004628</v>
          </cell>
          <cell r="C563">
            <v>7</v>
          </cell>
          <cell r="D563" t="str">
            <v>BOSA</v>
          </cell>
          <cell r="E563" t="str">
            <v>004628</v>
          </cell>
          <cell r="F563" t="str">
            <v>BETANIA</v>
          </cell>
        </row>
        <row r="564">
          <cell r="B564" t="str">
            <v>004630</v>
          </cell>
          <cell r="C564">
            <v>7</v>
          </cell>
          <cell r="D564" t="str">
            <v>BOSA</v>
          </cell>
          <cell r="E564" t="str">
            <v>004630</v>
          </cell>
          <cell r="F564" t="str">
            <v>PARCELA EL PORVENIR</v>
          </cell>
        </row>
        <row r="565">
          <cell r="B565" t="str">
            <v>004631</v>
          </cell>
          <cell r="C565">
            <v>7</v>
          </cell>
          <cell r="D565" t="str">
            <v>BOSA</v>
          </cell>
          <cell r="E565" t="str">
            <v>004631</v>
          </cell>
          <cell r="F565" t="str">
            <v>EL CORZO</v>
          </cell>
        </row>
        <row r="566">
          <cell r="B566" t="str">
            <v>004632</v>
          </cell>
          <cell r="C566">
            <v>7</v>
          </cell>
          <cell r="D566" t="str">
            <v>BOSA</v>
          </cell>
          <cell r="E566" t="str">
            <v>004632</v>
          </cell>
          <cell r="F566" t="str">
            <v>LA CABANA</v>
          </cell>
        </row>
        <row r="567">
          <cell r="B567" t="str">
            <v>004633</v>
          </cell>
          <cell r="C567">
            <v>7</v>
          </cell>
          <cell r="D567" t="str">
            <v>BOSA</v>
          </cell>
          <cell r="E567" t="str">
            <v>004633</v>
          </cell>
          <cell r="F567" t="str">
            <v>SANTA FE BOSA</v>
          </cell>
        </row>
        <row r="568">
          <cell r="B568" t="str">
            <v>004634</v>
          </cell>
          <cell r="C568">
            <v>7</v>
          </cell>
          <cell r="D568" t="str">
            <v>BOSA</v>
          </cell>
          <cell r="E568" t="str">
            <v>004634</v>
          </cell>
          <cell r="F568" t="str">
            <v>CANAVERALEJO</v>
          </cell>
        </row>
        <row r="569">
          <cell r="B569" t="str">
            <v>004635</v>
          </cell>
          <cell r="C569">
            <v>7</v>
          </cell>
          <cell r="D569" t="str">
            <v>BOSA</v>
          </cell>
          <cell r="E569" t="str">
            <v>004635</v>
          </cell>
          <cell r="F569" t="str">
            <v>SAN BERNARDINO II</v>
          </cell>
        </row>
        <row r="570">
          <cell r="B570" t="str">
            <v>004637</v>
          </cell>
          <cell r="C570">
            <v>7</v>
          </cell>
          <cell r="D570" t="str">
            <v>BOSA</v>
          </cell>
          <cell r="E570" t="str">
            <v>004637</v>
          </cell>
          <cell r="F570" t="str">
            <v>LAS MARGARITAS</v>
          </cell>
        </row>
        <row r="571">
          <cell r="B571" t="str">
            <v>004638</v>
          </cell>
          <cell r="C571">
            <v>7</v>
          </cell>
          <cell r="D571" t="str">
            <v>BOSA</v>
          </cell>
          <cell r="E571" t="str">
            <v>004638</v>
          </cell>
          <cell r="F571" t="str">
            <v>CIUDADELA EL RECREO II</v>
          </cell>
        </row>
        <row r="572">
          <cell r="B572" t="str">
            <v>004641</v>
          </cell>
          <cell r="C572">
            <v>7</v>
          </cell>
          <cell r="D572" t="str">
            <v>BOSA</v>
          </cell>
          <cell r="E572" t="str">
            <v>004641</v>
          </cell>
          <cell r="F572" t="str">
            <v>LA INDEPENDENCIA</v>
          </cell>
        </row>
        <row r="573">
          <cell r="B573" t="str">
            <v>004642</v>
          </cell>
          <cell r="C573">
            <v>7</v>
          </cell>
          <cell r="D573" t="str">
            <v>BOSA</v>
          </cell>
          <cell r="E573" t="str">
            <v>004642</v>
          </cell>
          <cell r="F573" t="str">
            <v>ISLANDIA</v>
          </cell>
        </row>
        <row r="574">
          <cell r="B574" t="str">
            <v>004643</v>
          </cell>
          <cell r="C574">
            <v>7</v>
          </cell>
          <cell r="D574" t="str">
            <v>BOSA</v>
          </cell>
          <cell r="E574" t="str">
            <v>004643</v>
          </cell>
          <cell r="F574" t="str">
            <v>EL CORZO I</v>
          </cell>
        </row>
        <row r="575">
          <cell r="B575" t="str">
            <v>005101</v>
          </cell>
          <cell r="C575">
            <v>12</v>
          </cell>
          <cell r="D575" t="str">
            <v>BARRIOS UNIDOS</v>
          </cell>
          <cell r="E575" t="str">
            <v>005101</v>
          </cell>
          <cell r="F575" t="str">
            <v>JOSE JOAQUIN VARGAS</v>
          </cell>
        </row>
        <row r="576">
          <cell r="B576" t="str">
            <v>005102</v>
          </cell>
          <cell r="C576">
            <v>12</v>
          </cell>
          <cell r="D576" t="str">
            <v>BARRIOS UNIDOS</v>
          </cell>
          <cell r="E576" t="str">
            <v>005102</v>
          </cell>
          <cell r="F576" t="str">
            <v>POPULAR MODELO</v>
          </cell>
        </row>
        <row r="577">
          <cell r="B577" t="str">
            <v>005103</v>
          </cell>
          <cell r="C577">
            <v>12</v>
          </cell>
          <cell r="D577" t="str">
            <v>BARRIOS UNIDOS</v>
          </cell>
          <cell r="E577" t="str">
            <v>005103</v>
          </cell>
          <cell r="F577" t="str">
            <v>SAN MIGUEL</v>
          </cell>
        </row>
        <row r="578">
          <cell r="B578" t="str">
            <v>005104</v>
          </cell>
          <cell r="C578">
            <v>12</v>
          </cell>
          <cell r="D578" t="str">
            <v>BARRIOS UNIDOS</v>
          </cell>
          <cell r="E578" t="str">
            <v>005104</v>
          </cell>
          <cell r="F578" t="str">
            <v>EL ROSARIO</v>
          </cell>
        </row>
        <row r="579">
          <cell r="B579" t="str">
            <v>005105</v>
          </cell>
          <cell r="C579">
            <v>13</v>
          </cell>
          <cell r="D579" t="str">
            <v>TEUSAQUILLO</v>
          </cell>
          <cell r="E579" t="str">
            <v>005105</v>
          </cell>
          <cell r="F579" t="str">
            <v>CAMPIN OCCIDENTAL</v>
          </cell>
        </row>
        <row r="580">
          <cell r="B580" t="str">
            <v>005106</v>
          </cell>
          <cell r="C580">
            <v>13</v>
          </cell>
          <cell r="D580" t="str">
            <v>TEUSAQUILLO</v>
          </cell>
          <cell r="E580" t="str">
            <v>005106</v>
          </cell>
          <cell r="F580" t="str">
            <v>NICOLAS DE FEDERMAN</v>
          </cell>
        </row>
        <row r="581">
          <cell r="B581" t="str">
            <v>005107</v>
          </cell>
          <cell r="C581">
            <v>13</v>
          </cell>
          <cell r="D581" t="str">
            <v>TEUSAQUILLO</v>
          </cell>
          <cell r="E581" t="str">
            <v>005107</v>
          </cell>
          <cell r="F581" t="str">
            <v>ACEVEDO TEJADA</v>
          </cell>
        </row>
        <row r="582">
          <cell r="B582" t="str">
            <v>005108</v>
          </cell>
          <cell r="C582">
            <v>13</v>
          </cell>
          <cell r="D582" t="str">
            <v>TEUSAQUILLO</v>
          </cell>
          <cell r="E582" t="str">
            <v>005108</v>
          </cell>
          <cell r="F582" t="str">
            <v>CIUDAD UNIVERSITARIA</v>
          </cell>
        </row>
        <row r="583">
          <cell r="B583" t="str">
            <v>005109</v>
          </cell>
          <cell r="C583">
            <v>13</v>
          </cell>
          <cell r="D583" t="str">
            <v>TEUSAQUILLO</v>
          </cell>
          <cell r="E583" t="str">
            <v>005109</v>
          </cell>
          <cell r="F583" t="str">
            <v>CENTRO ADMINISTRATIVO OCC.</v>
          </cell>
        </row>
        <row r="584">
          <cell r="B584" t="str">
            <v>005110</v>
          </cell>
          <cell r="C584">
            <v>13</v>
          </cell>
          <cell r="D584" t="str">
            <v>TEUSAQUILLO</v>
          </cell>
          <cell r="E584" t="str">
            <v>005110</v>
          </cell>
          <cell r="F584" t="str">
            <v>EL SALITRE</v>
          </cell>
        </row>
        <row r="585">
          <cell r="B585" t="str">
            <v>005111</v>
          </cell>
          <cell r="C585">
            <v>13</v>
          </cell>
          <cell r="D585" t="str">
            <v>TEUSAQUILLO</v>
          </cell>
          <cell r="E585" t="str">
            <v>005111</v>
          </cell>
          <cell r="F585" t="str">
            <v>LA ESMERALDA</v>
          </cell>
        </row>
        <row r="586">
          <cell r="B586" t="str">
            <v>005112</v>
          </cell>
          <cell r="C586">
            <v>12</v>
          </cell>
          <cell r="D586" t="str">
            <v>BARRIOS UNIDOS</v>
          </cell>
          <cell r="E586" t="str">
            <v>005112</v>
          </cell>
          <cell r="F586" t="str">
            <v>PARQUE DISTRITAL SALITRE</v>
          </cell>
        </row>
        <row r="587">
          <cell r="B587" t="str">
            <v>005113</v>
          </cell>
          <cell r="C587">
            <v>13</v>
          </cell>
          <cell r="D587" t="str">
            <v>TEUSAQUILLO</v>
          </cell>
          <cell r="E587" t="str">
            <v>005113</v>
          </cell>
          <cell r="F587" t="str">
            <v>PAULO VI</v>
          </cell>
        </row>
        <row r="588">
          <cell r="B588" t="str">
            <v>005114</v>
          </cell>
          <cell r="C588">
            <v>13</v>
          </cell>
          <cell r="D588" t="str">
            <v>TEUSAQUILLO</v>
          </cell>
          <cell r="E588" t="str">
            <v>005114</v>
          </cell>
          <cell r="F588" t="str">
            <v>CAMPO EUCARISTICO</v>
          </cell>
        </row>
        <row r="589">
          <cell r="B589" t="str">
            <v>005115</v>
          </cell>
          <cell r="C589">
            <v>12</v>
          </cell>
          <cell r="D589" t="str">
            <v>BARRIOS UNIDOS</v>
          </cell>
          <cell r="E589" t="str">
            <v>005115</v>
          </cell>
          <cell r="F589" t="str">
            <v>PARQUE POPULAR SALITRE</v>
          </cell>
        </row>
        <row r="590">
          <cell r="B590" t="str">
            <v>005116</v>
          </cell>
          <cell r="C590">
            <v>13</v>
          </cell>
          <cell r="D590" t="str">
            <v>TEUSAQUILLO</v>
          </cell>
          <cell r="E590" t="str">
            <v>005116</v>
          </cell>
          <cell r="F590" t="str">
            <v>PABLO VI NORTE</v>
          </cell>
        </row>
        <row r="591">
          <cell r="B591" t="str">
            <v>005117</v>
          </cell>
          <cell r="C591">
            <v>13</v>
          </cell>
          <cell r="D591" t="str">
            <v>TEUSAQUILLO</v>
          </cell>
          <cell r="E591" t="str">
            <v>005117</v>
          </cell>
          <cell r="F591" t="str">
            <v>RAFAEL NUNEZ</v>
          </cell>
        </row>
        <row r="592">
          <cell r="B592" t="str">
            <v>005201</v>
          </cell>
          <cell r="C592">
            <v>12</v>
          </cell>
          <cell r="D592" t="str">
            <v>BARRIOS UNIDOS</v>
          </cell>
          <cell r="E592" t="str">
            <v>005201</v>
          </cell>
          <cell r="F592" t="str">
            <v>JORGE ELIECER GAITAN</v>
          </cell>
        </row>
        <row r="593">
          <cell r="B593" t="str">
            <v>005202</v>
          </cell>
          <cell r="C593">
            <v>12</v>
          </cell>
          <cell r="D593" t="str">
            <v>BARRIOS UNIDOS</v>
          </cell>
          <cell r="E593" t="str">
            <v>005202</v>
          </cell>
          <cell r="F593" t="str">
            <v>DOCE DE OCTUBRE</v>
          </cell>
        </row>
        <row r="594">
          <cell r="B594" t="str">
            <v>005203</v>
          </cell>
          <cell r="C594">
            <v>12</v>
          </cell>
          <cell r="D594" t="str">
            <v>BARRIOS UNIDOS</v>
          </cell>
          <cell r="E594" t="str">
            <v>005203</v>
          </cell>
          <cell r="F594" t="str">
            <v>SAN FERNANDO</v>
          </cell>
        </row>
        <row r="595">
          <cell r="B595" t="str">
            <v>005204</v>
          </cell>
          <cell r="C595">
            <v>12</v>
          </cell>
          <cell r="D595" t="str">
            <v>BARRIOS UNIDOS</v>
          </cell>
          <cell r="E595" t="str">
            <v>005204</v>
          </cell>
          <cell r="F595" t="str">
            <v>SAN FERNANDO OCCIDENTAL</v>
          </cell>
        </row>
        <row r="596">
          <cell r="B596" t="str">
            <v>005205</v>
          </cell>
          <cell r="C596">
            <v>12</v>
          </cell>
          <cell r="D596" t="str">
            <v>BARRIOS UNIDOS</v>
          </cell>
          <cell r="E596" t="str">
            <v>005205</v>
          </cell>
          <cell r="F596" t="str">
            <v>SIMON BOLIVAR</v>
          </cell>
        </row>
        <row r="597">
          <cell r="B597" t="str">
            <v>005206</v>
          </cell>
          <cell r="C597">
            <v>12</v>
          </cell>
          <cell r="D597" t="str">
            <v>BARRIOS UNIDOS</v>
          </cell>
          <cell r="E597" t="str">
            <v>005206</v>
          </cell>
          <cell r="F597" t="str">
            <v>LA LIBERTAD</v>
          </cell>
        </row>
        <row r="598">
          <cell r="B598" t="str">
            <v>005207</v>
          </cell>
          <cell r="C598">
            <v>12</v>
          </cell>
          <cell r="D598" t="str">
            <v>BARRIOS UNIDOS</v>
          </cell>
          <cell r="E598" t="str">
            <v>005207</v>
          </cell>
          <cell r="F598" t="str">
            <v>METROPOLIS</v>
          </cell>
        </row>
        <row r="599">
          <cell r="B599" t="str">
            <v>005304</v>
          </cell>
          <cell r="C599">
            <v>12</v>
          </cell>
          <cell r="D599" t="str">
            <v>BARRIOS UNIDOS</v>
          </cell>
          <cell r="E599" t="str">
            <v>005304</v>
          </cell>
          <cell r="F599" t="str">
            <v>LA CASTELLANA</v>
          </cell>
        </row>
        <row r="600">
          <cell r="B600" t="str">
            <v>005305</v>
          </cell>
          <cell r="C600">
            <v>12</v>
          </cell>
          <cell r="D600" t="str">
            <v>BARRIOS UNIDOS</v>
          </cell>
          <cell r="E600" t="str">
            <v>005305</v>
          </cell>
          <cell r="F600" t="str">
            <v>LA PATRIA</v>
          </cell>
        </row>
        <row r="601">
          <cell r="B601" t="str">
            <v>005306</v>
          </cell>
          <cell r="C601">
            <v>12</v>
          </cell>
          <cell r="D601" t="str">
            <v>BARRIOS UNIDOS</v>
          </cell>
          <cell r="E601" t="str">
            <v>005306</v>
          </cell>
          <cell r="F601" t="str">
            <v>ENTRERIOS</v>
          </cell>
        </row>
        <row r="602">
          <cell r="B602" t="str">
            <v>005307</v>
          </cell>
          <cell r="C602">
            <v>12</v>
          </cell>
          <cell r="D602" t="str">
            <v>BARRIOS UNIDOS</v>
          </cell>
          <cell r="E602" t="str">
            <v>005307</v>
          </cell>
          <cell r="F602" t="str">
            <v>LOS ANDES</v>
          </cell>
        </row>
        <row r="603">
          <cell r="B603" t="str">
            <v>005308</v>
          </cell>
          <cell r="C603">
            <v>12</v>
          </cell>
          <cell r="D603" t="str">
            <v>BARRIOS UNIDOS</v>
          </cell>
          <cell r="E603" t="str">
            <v>005308</v>
          </cell>
          <cell r="F603" t="str">
            <v>RIONEGRO</v>
          </cell>
        </row>
        <row r="604">
          <cell r="B604" t="str">
            <v>005310</v>
          </cell>
          <cell r="C604">
            <v>12</v>
          </cell>
          <cell r="D604" t="str">
            <v>BARRIOS UNIDOS</v>
          </cell>
          <cell r="E604" t="str">
            <v>005310</v>
          </cell>
          <cell r="F604" t="str">
            <v>ESCUELA MILITAR</v>
          </cell>
        </row>
        <row r="605">
          <cell r="B605" t="str">
            <v>005401</v>
          </cell>
          <cell r="C605">
            <v>11</v>
          </cell>
          <cell r="D605" t="str">
            <v>SUBA</v>
          </cell>
          <cell r="E605" t="str">
            <v>005401</v>
          </cell>
          <cell r="F605" t="str">
            <v>POTOSI</v>
          </cell>
        </row>
        <row r="606">
          <cell r="B606" t="str">
            <v>005402</v>
          </cell>
          <cell r="C606">
            <v>11</v>
          </cell>
          <cell r="D606" t="str">
            <v>SUBA</v>
          </cell>
          <cell r="E606" t="str">
            <v>005402</v>
          </cell>
          <cell r="F606" t="str">
            <v>SANTA ROSA</v>
          </cell>
        </row>
        <row r="607">
          <cell r="B607" t="str">
            <v>005403</v>
          </cell>
          <cell r="C607">
            <v>11</v>
          </cell>
          <cell r="D607" t="str">
            <v>SUBA</v>
          </cell>
          <cell r="E607" t="str">
            <v>005403</v>
          </cell>
          <cell r="F607" t="str">
            <v>JULIO FLOREZ</v>
          </cell>
        </row>
        <row r="608">
          <cell r="B608" t="str">
            <v>005404</v>
          </cell>
          <cell r="C608">
            <v>10</v>
          </cell>
          <cell r="D608" t="str">
            <v>ENGATIVA</v>
          </cell>
          <cell r="E608" t="str">
            <v>005404</v>
          </cell>
          <cell r="F608" t="str">
            <v>LAS FERIAS</v>
          </cell>
        </row>
        <row r="609">
          <cell r="B609" t="str">
            <v>005405</v>
          </cell>
          <cell r="C609">
            <v>10</v>
          </cell>
          <cell r="D609" t="str">
            <v>ENGATIVA</v>
          </cell>
          <cell r="E609" t="str">
            <v>005405</v>
          </cell>
          <cell r="F609" t="str">
            <v>LAS FERIAS OCCIDENTAL</v>
          </cell>
        </row>
        <row r="610">
          <cell r="B610" t="str">
            <v>005406</v>
          </cell>
          <cell r="C610">
            <v>10</v>
          </cell>
          <cell r="D610" t="str">
            <v>ENGATIVA</v>
          </cell>
          <cell r="E610" t="str">
            <v>005406</v>
          </cell>
          <cell r="F610" t="str">
            <v>BONANZA</v>
          </cell>
        </row>
        <row r="611">
          <cell r="B611" t="str">
            <v>005501</v>
          </cell>
          <cell r="C611">
            <v>10</v>
          </cell>
          <cell r="D611" t="str">
            <v>ENGATIVA</v>
          </cell>
          <cell r="E611" t="str">
            <v>005501</v>
          </cell>
          <cell r="F611" t="str">
            <v>PALO BLANCO</v>
          </cell>
        </row>
        <row r="612">
          <cell r="B612" t="str">
            <v>005502</v>
          </cell>
          <cell r="C612">
            <v>10</v>
          </cell>
          <cell r="D612" t="str">
            <v>ENGATIVA</v>
          </cell>
          <cell r="E612" t="str">
            <v>005502</v>
          </cell>
          <cell r="F612" t="str">
            <v>LA ESTRADA</v>
          </cell>
        </row>
        <row r="613">
          <cell r="B613" t="str">
            <v>005503</v>
          </cell>
          <cell r="C613">
            <v>10</v>
          </cell>
          <cell r="D613" t="str">
            <v>ENGATIVA</v>
          </cell>
          <cell r="E613" t="str">
            <v>005503</v>
          </cell>
          <cell r="F613" t="str">
            <v>BELLAVISTA OCCIDENTAL</v>
          </cell>
        </row>
        <row r="614">
          <cell r="B614" t="str">
            <v>005504</v>
          </cell>
          <cell r="C614">
            <v>10</v>
          </cell>
          <cell r="D614" t="str">
            <v>ENGATIVA</v>
          </cell>
          <cell r="E614" t="str">
            <v>005504</v>
          </cell>
          <cell r="F614" t="str">
            <v>LA ESTRADITA</v>
          </cell>
        </row>
        <row r="615">
          <cell r="B615" t="str">
            <v>005505</v>
          </cell>
          <cell r="C615">
            <v>10</v>
          </cell>
          <cell r="D615" t="str">
            <v>ENGATIVA</v>
          </cell>
          <cell r="E615" t="str">
            <v>005505</v>
          </cell>
          <cell r="F615" t="str">
            <v>BOSQUE POPULAR</v>
          </cell>
        </row>
        <row r="616">
          <cell r="B616" t="str">
            <v>005506</v>
          </cell>
          <cell r="C616">
            <v>10</v>
          </cell>
          <cell r="D616" t="str">
            <v>ENGATIVA</v>
          </cell>
          <cell r="E616" t="str">
            <v>005506</v>
          </cell>
          <cell r="F616" t="str">
            <v>JARDIN BOTANICO</v>
          </cell>
        </row>
        <row r="617">
          <cell r="B617" t="str">
            <v>005507</v>
          </cell>
          <cell r="C617">
            <v>10</v>
          </cell>
          <cell r="D617" t="str">
            <v>ENGATIVA</v>
          </cell>
          <cell r="E617" t="str">
            <v>005507</v>
          </cell>
          <cell r="F617" t="str">
            <v>NORMANDIA</v>
          </cell>
        </row>
        <row r="618">
          <cell r="B618" t="str">
            <v>005508</v>
          </cell>
          <cell r="C618">
            <v>10</v>
          </cell>
          <cell r="D618" t="str">
            <v>ENGATIVA</v>
          </cell>
          <cell r="E618" t="str">
            <v>005508</v>
          </cell>
          <cell r="F618" t="str">
            <v>LA CABANA</v>
          </cell>
        </row>
        <row r="619">
          <cell r="B619" t="str">
            <v>005509</v>
          </cell>
          <cell r="C619">
            <v>10</v>
          </cell>
          <cell r="D619" t="str">
            <v>ENGATIVA</v>
          </cell>
          <cell r="E619" t="str">
            <v>005509</v>
          </cell>
          <cell r="F619" t="str">
            <v>SAN JOAQUIN</v>
          </cell>
        </row>
        <row r="620">
          <cell r="B620" t="str">
            <v>005510</v>
          </cell>
          <cell r="C620">
            <v>10</v>
          </cell>
          <cell r="D620" t="str">
            <v>ENGATIVA</v>
          </cell>
          <cell r="E620" t="str">
            <v>005510</v>
          </cell>
          <cell r="F620" t="str">
            <v>EL LAUREL</v>
          </cell>
        </row>
        <row r="621">
          <cell r="B621" t="str">
            <v>005601</v>
          </cell>
          <cell r="C621">
            <v>10</v>
          </cell>
          <cell r="D621" t="str">
            <v>ENGATIVA</v>
          </cell>
          <cell r="E621" t="str">
            <v>005601</v>
          </cell>
          <cell r="F621" t="str">
            <v>EL MINUTO DE DIOS</v>
          </cell>
        </row>
        <row r="622">
          <cell r="B622" t="str">
            <v>005602</v>
          </cell>
          <cell r="C622">
            <v>10</v>
          </cell>
          <cell r="D622" t="str">
            <v>ENGATIVA</v>
          </cell>
          <cell r="E622" t="str">
            <v>005602</v>
          </cell>
          <cell r="F622" t="str">
            <v>SANTA MARIA</v>
          </cell>
        </row>
        <row r="623">
          <cell r="B623" t="str">
            <v>005603</v>
          </cell>
          <cell r="C623">
            <v>10</v>
          </cell>
          <cell r="D623" t="str">
            <v>ENGATIVA</v>
          </cell>
          <cell r="E623" t="str">
            <v>005603</v>
          </cell>
          <cell r="F623" t="str">
            <v>BOYACA</v>
          </cell>
        </row>
        <row r="624">
          <cell r="B624" t="str">
            <v>005604</v>
          </cell>
          <cell r="C624">
            <v>10</v>
          </cell>
          <cell r="D624" t="str">
            <v>ENGATIVA</v>
          </cell>
          <cell r="E624" t="str">
            <v>005604</v>
          </cell>
          <cell r="F624" t="str">
            <v>EL REAL</v>
          </cell>
        </row>
        <row r="625">
          <cell r="B625" t="str">
            <v>005605</v>
          </cell>
          <cell r="C625">
            <v>10</v>
          </cell>
          <cell r="D625" t="str">
            <v>ENGATIVA</v>
          </cell>
          <cell r="E625" t="str">
            <v>005605</v>
          </cell>
          <cell r="F625" t="str">
            <v>EL ENCANTO</v>
          </cell>
        </row>
        <row r="626">
          <cell r="B626" t="str">
            <v>005606</v>
          </cell>
          <cell r="C626">
            <v>10</v>
          </cell>
          <cell r="D626" t="str">
            <v>ENGATIVA</v>
          </cell>
          <cell r="E626" t="str">
            <v>005606</v>
          </cell>
          <cell r="F626" t="str">
            <v>NORMANDIA OCCIDENTAL</v>
          </cell>
        </row>
        <row r="627">
          <cell r="B627" t="str">
            <v>005607</v>
          </cell>
          <cell r="C627">
            <v>10</v>
          </cell>
          <cell r="D627" t="str">
            <v>ENGATIVA</v>
          </cell>
          <cell r="E627" t="str">
            <v>005607</v>
          </cell>
          <cell r="F627" t="str">
            <v>SAN IGNACIO</v>
          </cell>
        </row>
        <row r="628">
          <cell r="B628" t="str">
            <v>005608</v>
          </cell>
          <cell r="C628">
            <v>10</v>
          </cell>
          <cell r="D628" t="str">
            <v>ENGATIVA</v>
          </cell>
          <cell r="E628" t="str">
            <v>005608</v>
          </cell>
          <cell r="F628" t="str">
            <v>SANTA HELENITA</v>
          </cell>
        </row>
        <row r="629">
          <cell r="B629" t="str">
            <v>005609</v>
          </cell>
          <cell r="C629">
            <v>10</v>
          </cell>
          <cell r="D629" t="str">
            <v>ENGATIVA</v>
          </cell>
          <cell r="E629" t="str">
            <v>005609</v>
          </cell>
          <cell r="F629" t="str">
            <v>TABORA</v>
          </cell>
        </row>
        <row r="630">
          <cell r="B630" t="str">
            <v>005610</v>
          </cell>
          <cell r="C630">
            <v>10</v>
          </cell>
          <cell r="D630" t="str">
            <v>ENGATIVA</v>
          </cell>
          <cell r="E630" t="str">
            <v>005610</v>
          </cell>
          <cell r="F630" t="str">
            <v>LA GRANJA</v>
          </cell>
        </row>
        <row r="631">
          <cell r="B631" t="str">
            <v>005611</v>
          </cell>
          <cell r="C631">
            <v>10</v>
          </cell>
          <cell r="D631" t="str">
            <v>ENGATIVA</v>
          </cell>
          <cell r="E631" t="str">
            <v>005611</v>
          </cell>
          <cell r="F631" t="str">
            <v>AUTOPISTA MEDELLIN</v>
          </cell>
        </row>
        <row r="632">
          <cell r="B632" t="str">
            <v>005612</v>
          </cell>
          <cell r="C632">
            <v>10</v>
          </cell>
          <cell r="D632" t="str">
            <v>ENGATIVA</v>
          </cell>
          <cell r="E632" t="str">
            <v>005612</v>
          </cell>
          <cell r="F632" t="str">
            <v>PARIS GAITAN</v>
          </cell>
        </row>
        <row r="633">
          <cell r="B633" t="str">
            <v>005613</v>
          </cell>
          <cell r="C633">
            <v>10</v>
          </cell>
          <cell r="D633" t="str">
            <v>ENGATIVA</v>
          </cell>
          <cell r="E633" t="str">
            <v>005613</v>
          </cell>
          <cell r="F633" t="str">
            <v>LA SERENA</v>
          </cell>
        </row>
        <row r="634">
          <cell r="B634" t="str">
            <v>005614</v>
          </cell>
          <cell r="C634">
            <v>10</v>
          </cell>
          <cell r="D634" t="str">
            <v>ENGATIVA</v>
          </cell>
          <cell r="E634" t="str">
            <v>005614</v>
          </cell>
          <cell r="F634" t="str">
            <v>VILLA LUZ</v>
          </cell>
        </row>
        <row r="635">
          <cell r="B635" t="str">
            <v>005615</v>
          </cell>
          <cell r="C635">
            <v>10</v>
          </cell>
          <cell r="D635" t="str">
            <v>ENGATIVA</v>
          </cell>
          <cell r="E635" t="str">
            <v>005615</v>
          </cell>
          <cell r="F635" t="str">
            <v>LA SOLEDAD NORTE</v>
          </cell>
        </row>
        <row r="636">
          <cell r="B636" t="str">
            <v>005616</v>
          </cell>
          <cell r="C636">
            <v>10</v>
          </cell>
          <cell r="D636" t="str">
            <v>ENGATIVA</v>
          </cell>
          <cell r="E636" t="str">
            <v>005616</v>
          </cell>
          <cell r="F636" t="str">
            <v>LOS CEREZOS</v>
          </cell>
        </row>
        <row r="637">
          <cell r="B637" t="str">
            <v>005617</v>
          </cell>
          <cell r="C637">
            <v>10</v>
          </cell>
          <cell r="D637" t="str">
            <v>ENGATIVA</v>
          </cell>
          <cell r="E637" t="str">
            <v>005617</v>
          </cell>
          <cell r="F637" t="str">
            <v>PRIMAVERA</v>
          </cell>
        </row>
        <row r="638">
          <cell r="B638" t="str">
            <v>005619</v>
          </cell>
          <cell r="C638">
            <v>10</v>
          </cell>
          <cell r="D638" t="str">
            <v>ENGATIVA</v>
          </cell>
          <cell r="E638" t="str">
            <v>005619</v>
          </cell>
          <cell r="F638" t="str">
            <v>PARIS</v>
          </cell>
        </row>
        <row r="639">
          <cell r="B639" t="str">
            <v>005620</v>
          </cell>
          <cell r="C639">
            <v>10</v>
          </cell>
          <cell r="D639" t="str">
            <v>ENGATIVA</v>
          </cell>
          <cell r="E639" t="str">
            <v>005620</v>
          </cell>
          <cell r="F639" t="str">
            <v>FLORENCIA</v>
          </cell>
        </row>
        <row r="640">
          <cell r="B640" t="str">
            <v>005621</v>
          </cell>
          <cell r="C640">
            <v>10</v>
          </cell>
          <cell r="D640" t="str">
            <v>ENGATIVA</v>
          </cell>
          <cell r="E640" t="str">
            <v>005621</v>
          </cell>
          <cell r="F640" t="str">
            <v>FLORIDA BLANCA</v>
          </cell>
        </row>
        <row r="641">
          <cell r="B641" t="str">
            <v>005622</v>
          </cell>
          <cell r="C641">
            <v>10</v>
          </cell>
          <cell r="D641" t="str">
            <v>ENGATIVA</v>
          </cell>
          <cell r="E641" t="str">
            <v>005622</v>
          </cell>
          <cell r="F641" t="str">
            <v>BOLIVIA</v>
          </cell>
        </row>
        <row r="642">
          <cell r="B642" t="str">
            <v>005623</v>
          </cell>
          <cell r="C642">
            <v>10</v>
          </cell>
          <cell r="D642" t="str">
            <v>ENGATIVA</v>
          </cell>
          <cell r="E642" t="str">
            <v>005623</v>
          </cell>
          <cell r="F642" t="str">
            <v>LOS ANGELES</v>
          </cell>
        </row>
        <row r="643">
          <cell r="B643" t="str">
            <v>005624</v>
          </cell>
          <cell r="C643">
            <v>9</v>
          </cell>
          <cell r="D643" t="str">
            <v>FONTIBON</v>
          </cell>
          <cell r="E643" t="str">
            <v>005624</v>
          </cell>
          <cell r="F643" t="str">
            <v>AEROPUERTO EL DORADO</v>
          </cell>
        </row>
        <row r="644">
          <cell r="B644" t="str">
            <v>005625</v>
          </cell>
          <cell r="C644">
            <v>10</v>
          </cell>
          <cell r="D644" t="str">
            <v>ENGATIVA</v>
          </cell>
          <cell r="E644" t="str">
            <v>005625</v>
          </cell>
          <cell r="F644" t="str">
            <v>LOS ALAMOS</v>
          </cell>
        </row>
        <row r="645">
          <cell r="B645" t="str">
            <v>005626</v>
          </cell>
          <cell r="C645">
            <v>10</v>
          </cell>
          <cell r="D645" t="str">
            <v>ENGATIVA</v>
          </cell>
          <cell r="E645" t="str">
            <v>005626</v>
          </cell>
          <cell r="F645" t="str">
            <v>LOS ALAMOS</v>
          </cell>
        </row>
        <row r="646">
          <cell r="B646" t="str">
            <v>005627</v>
          </cell>
          <cell r="C646">
            <v>10</v>
          </cell>
          <cell r="D646" t="str">
            <v>ENGATIVA</v>
          </cell>
          <cell r="E646" t="str">
            <v>005627</v>
          </cell>
          <cell r="F646" t="str">
            <v>GARCES NAVAS</v>
          </cell>
        </row>
        <row r="647">
          <cell r="B647" t="str">
            <v>005628</v>
          </cell>
          <cell r="C647">
            <v>10</v>
          </cell>
          <cell r="D647" t="str">
            <v>ENGATIVA</v>
          </cell>
          <cell r="E647" t="str">
            <v>005628</v>
          </cell>
          <cell r="F647" t="str">
            <v>GARCES NAVAS ORIENTAL</v>
          </cell>
        </row>
        <row r="648">
          <cell r="B648" t="str">
            <v>005629</v>
          </cell>
          <cell r="C648">
            <v>10</v>
          </cell>
          <cell r="D648" t="str">
            <v>ENGATIVA</v>
          </cell>
          <cell r="E648" t="str">
            <v>005629</v>
          </cell>
          <cell r="F648" t="str">
            <v>EL CEDRO</v>
          </cell>
        </row>
        <row r="649">
          <cell r="B649" t="str">
            <v>005630</v>
          </cell>
          <cell r="C649">
            <v>10</v>
          </cell>
          <cell r="D649" t="str">
            <v>ENGATIVA</v>
          </cell>
          <cell r="E649" t="str">
            <v>005630</v>
          </cell>
          <cell r="F649" t="str">
            <v>CIUDAD BACHUE</v>
          </cell>
        </row>
        <row r="650">
          <cell r="B650" t="str">
            <v>005631</v>
          </cell>
          <cell r="C650">
            <v>10</v>
          </cell>
          <cell r="D650" t="str">
            <v>ENGATIVA</v>
          </cell>
          <cell r="E650" t="str">
            <v>005631</v>
          </cell>
          <cell r="F650" t="str">
            <v>CIUDAD BACHUE I ETAPA</v>
          </cell>
        </row>
        <row r="651">
          <cell r="B651" t="str">
            <v>005632</v>
          </cell>
          <cell r="C651">
            <v>10</v>
          </cell>
          <cell r="D651" t="str">
            <v>ENGATIVA</v>
          </cell>
          <cell r="E651" t="str">
            <v>005632</v>
          </cell>
          <cell r="F651" t="str">
            <v>BOCHICA</v>
          </cell>
        </row>
        <row r="652">
          <cell r="B652" t="str">
            <v>005634</v>
          </cell>
          <cell r="C652">
            <v>10</v>
          </cell>
          <cell r="D652" t="str">
            <v>ENGATIVA</v>
          </cell>
          <cell r="E652" t="str">
            <v>005634</v>
          </cell>
          <cell r="F652" t="str">
            <v>EL CORTIJO</v>
          </cell>
        </row>
        <row r="653">
          <cell r="B653" t="str">
            <v>005635</v>
          </cell>
          <cell r="C653">
            <v>10</v>
          </cell>
          <cell r="D653" t="str">
            <v>ENGATIVA</v>
          </cell>
          <cell r="E653" t="str">
            <v>005635</v>
          </cell>
          <cell r="F653" t="str">
            <v>EL MADRIGAL</v>
          </cell>
        </row>
        <row r="654">
          <cell r="B654" t="str">
            <v>005636</v>
          </cell>
          <cell r="C654">
            <v>10</v>
          </cell>
          <cell r="D654" t="str">
            <v>ENGATIVA</v>
          </cell>
          <cell r="E654" t="str">
            <v>005636</v>
          </cell>
          <cell r="F654" t="str">
            <v>ENGATIVA ZONA URBANA</v>
          </cell>
        </row>
        <row r="655">
          <cell r="B655" t="str">
            <v>005637</v>
          </cell>
          <cell r="C655">
            <v>10</v>
          </cell>
          <cell r="D655" t="str">
            <v>ENGATIVA</v>
          </cell>
          <cell r="E655" t="str">
            <v>005637</v>
          </cell>
          <cell r="F655" t="str">
            <v>VILLA GLADYS</v>
          </cell>
        </row>
        <row r="656">
          <cell r="B656" t="str">
            <v>005638</v>
          </cell>
          <cell r="C656">
            <v>10</v>
          </cell>
          <cell r="D656" t="str">
            <v>ENGATIVA</v>
          </cell>
          <cell r="E656" t="str">
            <v>005638</v>
          </cell>
          <cell r="F656" t="str">
            <v>SANTA CECILIA</v>
          </cell>
        </row>
        <row r="657">
          <cell r="B657" t="str">
            <v>005639</v>
          </cell>
          <cell r="C657">
            <v>10</v>
          </cell>
          <cell r="D657" t="str">
            <v>ENGATIVA</v>
          </cell>
          <cell r="E657" t="str">
            <v>005639</v>
          </cell>
          <cell r="F657" t="str">
            <v>QUIRIGUA ORIENTAL</v>
          </cell>
        </row>
        <row r="658">
          <cell r="B658" t="str">
            <v>005640</v>
          </cell>
          <cell r="C658">
            <v>10</v>
          </cell>
          <cell r="D658" t="str">
            <v>ENGATIVA</v>
          </cell>
          <cell r="E658" t="str">
            <v>005640</v>
          </cell>
          <cell r="F658" t="str">
            <v>BOLIVIA ORIENTAL</v>
          </cell>
        </row>
        <row r="659">
          <cell r="B659" t="str">
            <v>005641</v>
          </cell>
          <cell r="C659">
            <v>10</v>
          </cell>
          <cell r="D659" t="str">
            <v>ENGATIVA</v>
          </cell>
          <cell r="E659" t="str">
            <v>005641</v>
          </cell>
          <cell r="F659" t="str">
            <v>SANTA MONICA</v>
          </cell>
        </row>
        <row r="660">
          <cell r="B660" t="str">
            <v>005643</v>
          </cell>
          <cell r="C660">
            <v>10</v>
          </cell>
          <cell r="D660" t="str">
            <v>ENGATIVA</v>
          </cell>
          <cell r="E660" t="str">
            <v>005643</v>
          </cell>
          <cell r="F660" t="str">
            <v>ALAMOS</v>
          </cell>
        </row>
        <row r="661">
          <cell r="B661" t="str">
            <v>005644</v>
          </cell>
          <cell r="C661">
            <v>10</v>
          </cell>
          <cell r="D661" t="str">
            <v>ENGATIVA</v>
          </cell>
          <cell r="E661" t="str">
            <v>005644</v>
          </cell>
          <cell r="F661" t="str">
            <v>BOCHICA II</v>
          </cell>
        </row>
        <row r="662">
          <cell r="B662" t="str">
            <v>005647</v>
          </cell>
          <cell r="C662">
            <v>10</v>
          </cell>
          <cell r="D662" t="str">
            <v>ENGATIVA</v>
          </cell>
          <cell r="E662" t="str">
            <v>005647</v>
          </cell>
          <cell r="F662" t="str">
            <v>VILLAS DE GRANADA</v>
          </cell>
        </row>
        <row r="663">
          <cell r="B663" t="str">
            <v>005648</v>
          </cell>
          <cell r="C663">
            <v>10</v>
          </cell>
          <cell r="D663" t="str">
            <v>ENGATIVA</v>
          </cell>
          <cell r="E663" t="str">
            <v>005648</v>
          </cell>
          <cell r="F663" t="str">
            <v>VILLA AMALIA</v>
          </cell>
        </row>
        <row r="664">
          <cell r="B664" t="str">
            <v>005649</v>
          </cell>
          <cell r="C664">
            <v>10</v>
          </cell>
          <cell r="D664" t="str">
            <v>ENGATIVA</v>
          </cell>
          <cell r="E664" t="str">
            <v>005649</v>
          </cell>
          <cell r="F664" t="str">
            <v>VILLAS DE GRANADA I</v>
          </cell>
        </row>
        <row r="665">
          <cell r="B665" t="str">
            <v>005650</v>
          </cell>
          <cell r="C665">
            <v>10</v>
          </cell>
          <cell r="D665" t="str">
            <v>ENGATIVA</v>
          </cell>
          <cell r="E665" t="str">
            <v>005650</v>
          </cell>
          <cell r="F665" t="str">
            <v>CIUDADELA COLSUBSIDIO</v>
          </cell>
        </row>
        <row r="666">
          <cell r="B666" t="str">
            <v>005652</v>
          </cell>
          <cell r="C666">
            <v>10</v>
          </cell>
          <cell r="D666" t="str">
            <v>ENGATIVA</v>
          </cell>
          <cell r="E666" t="str">
            <v>005652</v>
          </cell>
          <cell r="F666" t="str">
            <v>EL MUELLE</v>
          </cell>
        </row>
        <row r="667">
          <cell r="B667" t="str">
            <v>005654</v>
          </cell>
          <cell r="C667">
            <v>10</v>
          </cell>
          <cell r="D667" t="str">
            <v>ENGATIVA</v>
          </cell>
          <cell r="E667" t="str">
            <v>005654</v>
          </cell>
          <cell r="F667" t="str">
            <v>GRAN GRANADA</v>
          </cell>
        </row>
        <row r="668">
          <cell r="B668" t="str">
            <v>005655</v>
          </cell>
          <cell r="C668">
            <v>10</v>
          </cell>
          <cell r="D668" t="str">
            <v>ENGATIVA</v>
          </cell>
          <cell r="E668" t="str">
            <v>005655</v>
          </cell>
          <cell r="F668" t="str">
            <v>GARCES NAVAS SUR</v>
          </cell>
        </row>
        <row r="669">
          <cell r="B669" t="str">
            <v>005657</v>
          </cell>
          <cell r="C669">
            <v>10</v>
          </cell>
          <cell r="D669" t="str">
            <v>ENGATIVA</v>
          </cell>
          <cell r="E669" t="str">
            <v>005657</v>
          </cell>
          <cell r="F669" t="str">
            <v>SABANA DEL DORADO</v>
          </cell>
        </row>
        <row r="670">
          <cell r="B670" t="str">
            <v>005658</v>
          </cell>
          <cell r="C670">
            <v>10</v>
          </cell>
          <cell r="D670" t="str">
            <v>ENGATIVA</v>
          </cell>
          <cell r="E670" t="str">
            <v>005658</v>
          </cell>
          <cell r="F670" t="str">
            <v>VILLA SAGRARIO</v>
          </cell>
        </row>
        <row r="671">
          <cell r="B671" t="str">
            <v>005660</v>
          </cell>
          <cell r="C671">
            <v>10</v>
          </cell>
          <cell r="D671" t="str">
            <v>ENGATIVA</v>
          </cell>
          <cell r="E671" t="str">
            <v>005660</v>
          </cell>
          <cell r="F671" t="str">
            <v>SAN ANTONIO URBANO</v>
          </cell>
        </row>
        <row r="672">
          <cell r="B672" t="str">
            <v>005661</v>
          </cell>
          <cell r="C672">
            <v>10</v>
          </cell>
          <cell r="D672" t="str">
            <v>ENGATIVA</v>
          </cell>
          <cell r="E672" t="str">
            <v>005661</v>
          </cell>
          <cell r="F672" t="str">
            <v>LUIS CARLOS GALAN</v>
          </cell>
        </row>
        <row r="673">
          <cell r="B673" t="str">
            <v>005662</v>
          </cell>
          <cell r="C673">
            <v>10</v>
          </cell>
          <cell r="D673" t="str">
            <v>ENGATIVA</v>
          </cell>
          <cell r="E673" t="str">
            <v>005662</v>
          </cell>
          <cell r="F673" t="str">
            <v>EL CEDRO</v>
          </cell>
        </row>
        <row r="674">
          <cell r="B674" t="str">
            <v>005663</v>
          </cell>
          <cell r="C674">
            <v>10</v>
          </cell>
          <cell r="D674" t="str">
            <v>ENGATIVA</v>
          </cell>
          <cell r="E674" t="str">
            <v>005663</v>
          </cell>
          <cell r="F674" t="str">
            <v>EL DORADO INDUSTRIAL</v>
          </cell>
        </row>
        <row r="675">
          <cell r="B675" t="str">
            <v>005664</v>
          </cell>
          <cell r="C675">
            <v>10</v>
          </cell>
          <cell r="D675" t="str">
            <v>ENGATIVA</v>
          </cell>
          <cell r="E675" t="str">
            <v>005664</v>
          </cell>
          <cell r="F675" t="str">
            <v>EL DORADO</v>
          </cell>
        </row>
        <row r="676">
          <cell r="B676" t="str">
            <v>005665</v>
          </cell>
          <cell r="C676">
            <v>10</v>
          </cell>
          <cell r="D676" t="str">
            <v>ENGATIVA</v>
          </cell>
          <cell r="E676" t="str">
            <v>005665</v>
          </cell>
          <cell r="F676" t="str">
            <v>MARANDU</v>
          </cell>
        </row>
        <row r="677">
          <cell r="B677" t="str">
            <v>005666</v>
          </cell>
          <cell r="C677">
            <v>10</v>
          </cell>
          <cell r="D677" t="str">
            <v>ENGATIVA</v>
          </cell>
          <cell r="E677" t="str">
            <v>005666</v>
          </cell>
          <cell r="F677" t="str">
            <v>LA FAENA</v>
          </cell>
        </row>
        <row r="678">
          <cell r="B678" t="str">
            <v>005667</v>
          </cell>
          <cell r="C678">
            <v>10</v>
          </cell>
          <cell r="D678" t="str">
            <v>ENGATIVA</v>
          </cell>
          <cell r="E678" t="str">
            <v>005667</v>
          </cell>
          <cell r="F678" t="str">
            <v>CENTRO ENGATIVA II</v>
          </cell>
        </row>
        <row r="679">
          <cell r="B679" t="str">
            <v>005668</v>
          </cell>
          <cell r="C679">
            <v>10</v>
          </cell>
          <cell r="D679" t="str">
            <v>ENGATIVA</v>
          </cell>
          <cell r="E679" t="str">
            <v>005668</v>
          </cell>
          <cell r="F679" t="str">
            <v>VILLAS DE ALCALA</v>
          </cell>
        </row>
        <row r="680">
          <cell r="B680" t="str">
            <v>005669</v>
          </cell>
          <cell r="C680">
            <v>10</v>
          </cell>
          <cell r="D680" t="str">
            <v>ENGATIVA</v>
          </cell>
          <cell r="E680" t="str">
            <v>005669</v>
          </cell>
          <cell r="F680" t="str">
            <v>EL GACO</v>
          </cell>
        </row>
        <row r="681">
          <cell r="B681" t="str">
            <v>005670</v>
          </cell>
          <cell r="C681">
            <v>10</v>
          </cell>
          <cell r="D681" t="str">
            <v>ENGATIVA</v>
          </cell>
          <cell r="E681" t="str">
            <v>005670</v>
          </cell>
          <cell r="F681" t="str">
            <v>LA RIVIERA</v>
          </cell>
        </row>
        <row r="682">
          <cell r="B682" t="str">
            <v>005672</v>
          </cell>
          <cell r="C682">
            <v>9</v>
          </cell>
          <cell r="D682" t="str">
            <v>FONTIBON</v>
          </cell>
          <cell r="E682" t="str">
            <v>005672</v>
          </cell>
          <cell r="F682" t="str">
            <v>LAS NAVETAS</v>
          </cell>
        </row>
        <row r="683">
          <cell r="B683" t="str">
            <v>005673</v>
          </cell>
          <cell r="C683">
            <v>9</v>
          </cell>
          <cell r="D683" t="str">
            <v>FONTIBON</v>
          </cell>
          <cell r="E683" t="str">
            <v>005673</v>
          </cell>
          <cell r="F683" t="str">
            <v>PUEBLO VIEJO</v>
          </cell>
        </row>
        <row r="684">
          <cell r="B684" t="str">
            <v>005675</v>
          </cell>
          <cell r="C684">
            <v>10</v>
          </cell>
          <cell r="D684" t="str">
            <v>ENGATIVA</v>
          </cell>
          <cell r="E684" t="str">
            <v>005675</v>
          </cell>
          <cell r="F684" t="str">
            <v>BOLIVIA</v>
          </cell>
        </row>
        <row r="685">
          <cell r="B685" t="str">
            <v>005679</v>
          </cell>
          <cell r="C685">
            <v>10</v>
          </cell>
          <cell r="D685" t="str">
            <v>ENGATIVA</v>
          </cell>
          <cell r="E685" t="str">
            <v>005679</v>
          </cell>
          <cell r="F685" t="str">
            <v>SAN ANTONIO ENGATIVA</v>
          </cell>
        </row>
        <row r="686">
          <cell r="B686" t="str">
            <v>005680</v>
          </cell>
          <cell r="C686">
            <v>10</v>
          </cell>
          <cell r="D686" t="str">
            <v>ENGATIVA</v>
          </cell>
          <cell r="E686" t="str">
            <v>005680</v>
          </cell>
          <cell r="F686" t="str">
            <v>VILLA DEL MAR</v>
          </cell>
        </row>
        <row r="687">
          <cell r="B687" t="str">
            <v>005682</v>
          </cell>
          <cell r="C687">
            <v>10</v>
          </cell>
          <cell r="D687" t="str">
            <v>ENGATIVA</v>
          </cell>
          <cell r="E687" t="str">
            <v>005682</v>
          </cell>
          <cell r="F687" t="str">
            <v>CIUDAD BACHUE II</v>
          </cell>
        </row>
        <row r="688">
          <cell r="B688" t="str">
            <v>005683</v>
          </cell>
          <cell r="C688">
            <v>10</v>
          </cell>
          <cell r="D688" t="str">
            <v>ENGATIVA</v>
          </cell>
          <cell r="E688" t="str">
            <v>005683</v>
          </cell>
          <cell r="F688" t="str">
            <v>QUIRIGUA I</v>
          </cell>
        </row>
        <row r="689">
          <cell r="B689" t="str">
            <v>005684</v>
          </cell>
          <cell r="C689">
            <v>10</v>
          </cell>
          <cell r="D689" t="str">
            <v>ENGATIVA</v>
          </cell>
          <cell r="E689" t="str">
            <v>005684</v>
          </cell>
          <cell r="F689" t="str">
            <v>QUIRIGUA II</v>
          </cell>
        </row>
        <row r="690">
          <cell r="B690" t="str">
            <v>006101</v>
          </cell>
          <cell r="C690">
            <v>14</v>
          </cell>
          <cell r="D690" t="str">
            <v>LOS MARTIRES</v>
          </cell>
          <cell r="E690" t="str">
            <v>006101</v>
          </cell>
          <cell r="F690" t="str">
            <v>FLORIDA</v>
          </cell>
        </row>
        <row r="691">
          <cell r="B691" t="str">
            <v>006103</v>
          </cell>
          <cell r="C691">
            <v>14</v>
          </cell>
          <cell r="D691" t="str">
            <v>LOS MARTIRES</v>
          </cell>
          <cell r="E691" t="str">
            <v>006103</v>
          </cell>
          <cell r="F691" t="str">
            <v>SANTA FE</v>
          </cell>
        </row>
        <row r="692">
          <cell r="B692" t="str">
            <v>006104</v>
          </cell>
          <cell r="C692">
            <v>14</v>
          </cell>
          <cell r="D692" t="str">
            <v>LOS MARTIRES</v>
          </cell>
          <cell r="E692" t="str">
            <v>006104</v>
          </cell>
          <cell r="F692" t="str">
            <v>LA FAVORITA</v>
          </cell>
        </row>
        <row r="693">
          <cell r="B693" t="str">
            <v>006105</v>
          </cell>
          <cell r="C693">
            <v>14</v>
          </cell>
          <cell r="D693" t="str">
            <v>LOS MARTIRES</v>
          </cell>
          <cell r="E693" t="str">
            <v>006105</v>
          </cell>
          <cell r="F693" t="str">
            <v>SAN VICTORINO</v>
          </cell>
        </row>
        <row r="694">
          <cell r="B694" t="str">
            <v>006106</v>
          </cell>
          <cell r="C694">
            <v>14</v>
          </cell>
          <cell r="D694" t="str">
            <v>LOS MARTIRES</v>
          </cell>
          <cell r="E694" t="str">
            <v>006106</v>
          </cell>
          <cell r="F694" t="str">
            <v>EL LISTON</v>
          </cell>
        </row>
        <row r="695">
          <cell r="B695" t="str">
            <v>006107</v>
          </cell>
          <cell r="C695">
            <v>14</v>
          </cell>
          <cell r="D695" t="str">
            <v>LOS MARTIRES</v>
          </cell>
          <cell r="E695" t="str">
            <v>006107</v>
          </cell>
          <cell r="F695" t="str">
            <v>PALOQUEMAO</v>
          </cell>
        </row>
        <row r="696">
          <cell r="B696" t="str">
            <v>006108</v>
          </cell>
          <cell r="C696">
            <v>14</v>
          </cell>
          <cell r="D696" t="str">
            <v>LOS MARTIRES</v>
          </cell>
          <cell r="E696" t="str">
            <v>006108</v>
          </cell>
          <cell r="F696" t="str">
            <v>SAMPER MENDOZA</v>
          </cell>
        </row>
        <row r="697">
          <cell r="B697" t="str">
            <v>006109</v>
          </cell>
          <cell r="C697">
            <v>14</v>
          </cell>
          <cell r="D697" t="str">
            <v>LOS MARTIRES</v>
          </cell>
          <cell r="E697" t="str">
            <v>006109</v>
          </cell>
          <cell r="F697" t="str">
            <v>COLSEGUROS</v>
          </cell>
        </row>
        <row r="698">
          <cell r="B698" t="str">
            <v>006110</v>
          </cell>
          <cell r="C698">
            <v>14</v>
          </cell>
          <cell r="D698" t="str">
            <v>LOS MARTIRES</v>
          </cell>
          <cell r="E698" t="str">
            <v>006110</v>
          </cell>
          <cell r="F698" t="str">
            <v>USATAMA</v>
          </cell>
        </row>
        <row r="699">
          <cell r="B699" t="str">
            <v>006201</v>
          </cell>
          <cell r="C699">
            <v>13</v>
          </cell>
          <cell r="D699" t="str">
            <v>TEUSAQUILLO</v>
          </cell>
          <cell r="E699" t="str">
            <v>006201</v>
          </cell>
          <cell r="F699" t="str">
            <v>EL RECUERDO</v>
          </cell>
        </row>
        <row r="700">
          <cell r="B700" t="str">
            <v>006202</v>
          </cell>
          <cell r="C700">
            <v>13</v>
          </cell>
          <cell r="D700" t="str">
            <v>TEUSAQUILLO</v>
          </cell>
          <cell r="E700" t="str">
            <v>006202</v>
          </cell>
          <cell r="F700" t="str">
            <v>GRAN AMERICA</v>
          </cell>
        </row>
        <row r="701">
          <cell r="B701" t="str">
            <v>006203</v>
          </cell>
          <cell r="C701">
            <v>16</v>
          </cell>
          <cell r="D701" t="str">
            <v>PUENTE ARANDA</v>
          </cell>
          <cell r="E701" t="str">
            <v>006203</v>
          </cell>
          <cell r="F701" t="str">
            <v>LA FLORIDA OCCIDENTAL</v>
          </cell>
        </row>
        <row r="702">
          <cell r="B702" t="str">
            <v>006204</v>
          </cell>
          <cell r="C702">
            <v>16</v>
          </cell>
          <cell r="D702" t="str">
            <v>PUENTE ARANDA</v>
          </cell>
          <cell r="E702" t="str">
            <v>006204</v>
          </cell>
          <cell r="F702" t="str">
            <v>ESTACION CENTRAL</v>
          </cell>
        </row>
        <row r="703">
          <cell r="B703" t="str">
            <v>006205</v>
          </cell>
          <cell r="C703">
            <v>16</v>
          </cell>
          <cell r="D703" t="str">
            <v>PUENTE ARANDA</v>
          </cell>
          <cell r="E703" t="str">
            <v>006205</v>
          </cell>
          <cell r="F703" t="str">
            <v>INDUSTRIAL CENTENARIO</v>
          </cell>
        </row>
        <row r="704">
          <cell r="B704" t="str">
            <v>006206</v>
          </cell>
          <cell r="C704">
            <v>16</v>
          </cell>
          <cell r="D704" t="str">
            <v>PUENTE ARANDA</v>
          </cell>
          <cell r="E704" t="str">
            <v>006206</v>
          </cell>
          <cell r="F704" t="str">
            <v>EL EJIDO</v>
          </cell>
        </row>
        <row r="705">
          <cell r="B705" t="str">
            <v>006207</v>
          </cell>
          <cell r="C705">
            <v>16</v>
          </cell>
          <cell r="D705" t="str">
            <v>PUENTE ARANDA</v>
          </cell>
          <cell r="E705" t="str">
            <v>006207</v>
          </cell>
          <cell r="F705" t="str">
            <v>BATALLON CALDAS</v>
          </cell>
        </row>
        <row r="706">
          <cell r="B706" t="str">
            <v>006208</v>
          </cell>
          <cell r="C706">
            <v>16</v>
          </cell>
          <cell r="D706" t="str">
            <v>PUENTE ARANDA</v>
          </cell>
          <cell r="E706" t="str">
            <v>006208</v>
          </cell>
          <cell r="F706" t="str">
            <v>ORTEZAL</v>
          </cell>
        </row>
        <row r="707">
          <cell r="B707" t="str">
            <v>006209</v>
          </cell>
          <cell r="C707">
            <v>13</v>
          </cell>
          <cell r="D707" t="str">
            <v>TEUSAQUILLO</v>
          </cell>
          <cell r="E707" t="str">
            <v>006209</v>
          </cell>
          <cell r="F707" t="str">
            <v>QUINTA PAREDES</v>
          </cell>
        </row>
        <row r="708">
          <cell r="B708" t="str">
            <v>006210</v>
          </cell>
          <cell r="C708">
            <v>13</v>
          </cell>
          <cell r="D708" t="str">
            <v>TEUSAQUILLO</v>
          </cell>
          <cell r="E708" t="str">
            <v>006210</v>
          </cell>
          <cell r="F708" t="str">
            <v>CENTRO NARINO</v>
          </cell>
        </row>
        <row r="709">
          <cell r="B709" t="str">
            <v>006211</v>
          </cell>
          <cell r="C709">
            <v>16</v>
          </cell>
          <cell r="D709" t="str">
            <v>PUENTE ARANDA</v>
          </cell>
          <cell r="E709" t="str">
            <v>006211</v>
          </cell>
          <cell r="F709" t="str">
            <v>CUNDINAMARCA</v>
          </cell>
        </row>
        <row r="710">
          <cell r="B710" t="str">
            <v>006212</v>
          </cell>
          <cell r="C710">
            <v>16</v>
          </cell>
          <cell r="D710" t="str">
            <v>PUENTE ARANDA</v>
          </cell>
          <cell r="E710" t="str">
            <v>006212</v>
          </cell>
          <cell r="F710" t="str">
            <v>SALAZAR GOMEZ</v>
          </cell>
        </row>
        <row r="711">
          <cell r="B711" t="str">
            <v>006215</v>
          </cell>
          <cell r="C711">
            <v>16</v>
          </cell>
          <cell r="D711" t="str">
            <v>PUENTE ARANDA</v>
          </cell>
          <cell r="E711" t="str">
            <v>006215</v>
          </cell>
          <cell r="F711" t="str">
            <v>PUENTE ARANDA</v>
          </cell>
        </row>
        <row r="712">
          <cell r="B712" t="str">
            <v>006216</v>
          </cell>
          <cell r="C712">
            <v>13</v>
          </cell>
          <cell r="D712" t="str">
            <v>TEUSAQUILLO</v>
          </cell>
          <cell r="E712" t="str">
            <v>006216</v>
          </cell>
          <cell r="F712" t="str">
            <v>CIUDAD SALITRE NOR-ORIENTAL</v>
          </cell>
        </row>
        <row r="713">
          <cell r="B713" t="str">
            <v>006217</v>
          </cell>
          <cell r="C713">
            <v>13</v>
          </cell>
          <cell r="D713" t="str">
            <v>TEUSAQUILLO</v>
          </cell>
          <cell r="E713" t="str">
            <v>006217</v>
          </cell>
          <cell r="F713" t="str">
            <v>CIUDAD SALITRE SUR-ORIENTAL</v>
          </cell>
        </row>
        <row r="714">
          <cell r="B714" t="str">
            <v>006218</v>
          </cell>
          <cell r="C714">
            <v>16</v>
          </cell>
          <cell r="D714" t="str">
            <v>PUENTE ARANDA</v>
          </cell>
          <cell r="E714" t="str">
            <v>006218</v>
          </cell>
          <cell r="F714" t="str">
            <v>CENTRO INDUSTRIAL</v>
          </cell>
        </row>
        <row r="715">
          <cell r="B715" t="str">
            <v>006301</v>
          </cell>
          <cell r="C715">
            <v>9</v>
          </cell>
          <cell r="D715" t="str">
            <v>FONTIBON</v>
          </cell>
          <cell r="E715" t="str">
            <v>006301</v>
          </cell>
          <cell r="F715" t="str">
            <v>SANTA CECILIA</v>
          </cell>
        </row>
        <row r="716">
          <cell r="B716" t="str">
            <v>006302</v>
          </cell>
          <cell r="C716">
            <v>9</v>
          </cell>
          <cell r="D716" t="str">
            <v>FONTIBON</v>
          </cell>
          <cell r="E716" t="str">
            <v>006302</v>
          </cell>
          <cell r="F716" t="str">
            <v>CAPELLANIA</v>
          </cell>
        </row>
        <row r="717">
          <cell r="B717" t="str">
            <v>006303</v>
          </cell>
          <cell r="C717">
            <v>9</v>
          </cell>
          <cell r="D717" t="str">
            <v>FONTIBON</v>
          </cell>
          <cell r="E717" t="str">
            <v>006303</v>
          </cell>
          <cell r="F717" t="str">
            <v>LA ESPERANZA NORTE</v>
          </cell>
        </row>
        <row r="718">
          <cell r="B718" t="str">
            <v>006306</v>
          </cell>
          <cell r="C718">
            <v>9</v>
          </cell>
          <cell r="D718" t="str">
            <v>FONTIBON</v>
          </cell>
          <cell r="E718" t="str">
            <v>006306</v>
          </cell>
          <cell r="F718" t="str">
            <v>GRANJAS DE TECHO</v>
          </cell>
        </row>
        <row r="719">
          <cell r="B719" t="str">
            <v>006307</v>
          </cell>
          <cell r="C719">
            <v>9</v>
          </cell>
          <cell r="D719" t="str">
            <v>FONTIBON</v>
          </cell>
          <cell r="E719" t="str">
            <v>006307</v>
          </cell>
          <cell r="F719" t="str">
            <v>MONTEVIDEO</v>
          </cell>
        </row>
        <row r="720">
          <cell r="B720" t="str">
            <v>006308</v>
          </cell>
          <cell r="C720">
            <v>9</v>
          </cell>
          <cell r="D720" t="str">
            <v>FONTIBON</v>
          </cell>
          <cell r="E720" t="str">
            <v>006308</v>
          </cell>
          <cell r="F720" t="str">
            <v>FRANCO</v>
          </cell>
        </row>
        <row r="721">
          <cell r="B721" t="str">
            <v>006311</v>
          </cell>
          <cell r="C721">
            <v>9</v>
          </cell>
          <cell r="D721" t="str">
            <v>FONTIBON</v>
          </cell>
          <cell r="E721" t="str">
            <v>006311</v>
          </cell>
          <cell r="F721" t="str">
            <v>MODELIA</v>
          </cell>
        </row>
        <row r="722">
          <cell r="B722" t="str">
            <v>006312</v>
          </cell>
          <cell r="C722">
            <v>9</v>
          </cell>
          <cell r="D722" t="str">
            <v>FONTIBON</v>
          </cell>
          <cell r="E722" t="str">
            <v>006312</v>
          </cell>
          <cell r="F722" t="str">
            <v>MODELIA OCCIDENTAL</v>
          </cell>
        </row>
        <row r="723">
          <cell r="B723" t="str">
            <v>006313</v>
          </cell>
          <cell r="C723">
            <v>9</v>
          </cell>
          <cell r="D723" t="str">
            <v>FONTIBON</v>
          </cell>
          <cell r="E723" t="str">
            <v>006313</v>
          </cell>
          <cell r="F723" t="str">
            <v>SALITRE OCCIDENTAL</v>
          </cell>
        </row>
        <row r="724">
          <cell r="B724" t="str">
            <v>006315</v>
          </cell>
          <cell r="C724">
            <v>9</v>
          </cell>
          <cell r="D724" t="str">
            <v>FONTIBON</v>
          </cell>
          <cell r="E724" t="str">
            <v>006315</v>
          </cell>
          <cell r="F724" t="str">
            <v>LA ESPERANZA SUR</v>
          </cell>
        </row>
        <row r="725">
          <cell r="B725" t="str">
            <v>006316</v>
          </cell>
          <cell r="C725">
            <v>9</v>
          </cell>
          <cell r="D725" t="str">
            <v>FONTIBON</v>
          </cell>
          <cell r="E725" t="str">
            <v>006316</v>
          </cell>
          <cell r="F725" t="str">
            <v>BOSQUE DE MODELIA</v>
          </cell>
        </row>
        <row r="726">
          <cell r="B726" t="str">
            <v>006319</v>
          </cell>
          <cell r="C726">
            <v>9</v>
          </cell>
          <cell r="D726" t="str">
            <v>FONTIBON</v>
          </cell>
          <cell r="E726" t="str">
            <v>006319</v>
          </cell>
          <cell r="F726" t="str">
            <v>TERMINAL DE TRANSPORTES</v>
          </cell>
        </row>
        <row r="727">
          <cell r="B727" t="str">
            <v>006320</v>
          </cell>
          <cell r="C727">
            <v>9</v>
          </cell>
          <cell r="D727" t="str">
            <v>FONTIBON</v>
          </cell>
          <cell r="E727" t="str">
            <v>006320</v>
          </cell>
          <cell r="F727" t="str">
            <v>CIUDAD HAYUELOS</v>
          </cell>
        </row>
        <row r="728">
          <cell r="B728" t="str">
            <v>006401</v>
          </cell>
          <cell r="C728">
            <v>9</v>
          </cell>
          <cell r="D728" t="str">
            <v>FONTIBON</v>
          </cell>
          <cell r="E728" t="str">
            <v>006401</v>
          </cell>
          <cell r="F728" t="str">
            <v>VERSALLES FONTIBON</v>
          </cell>
        </row>
        <row r="729">
          <cell r="B729" t="str">
            <v>006402</v>
          </cell>
          <cell r="C729">
            <v>9</v>
          </cell>
          <cell r="D729" t="str">
            <v>FONTIBON</v>
          </cell>
          <cell r="E729" t="str">
            <v>006402</v>
          </cell>
          <cell r="F729" t="str">
            <v>LA CABANA FONTIBON</v>
          </cell>
        </row>
        <row r="730">
          <cell r="B730" t="str">
            <v>006403</v>
          </cell>
          <cell r="C730">
            <v>9</v>
          </cell>
          <cell r="D730" t="str">
            <v>FONTIBON</v>
          </cell>
          <cell r="E730" t="str">
            <v>006403</v>
          </cell>
          <cell r="F730" t="str">
            <v>SAN JOSE DE FONTIBON</v>
          </cell>
        </row>
        <row r="731">
          <cell r="B731" t="str">
            <v>006404</v>
          </cell>
          <cell r="C731">
            <v>9</v>
          </cell>
          <cell r="D731" t="str">
            <v>FONTIBON</v>
          </cell>
          <cell r="E731" t="str">
            <v>006404</v>
          </cell>
          <cell r="F731" t="str">
            <v>PUERTA DE TEJA</v>
          </cell>
        </row>
        <row r="732">
          <cell r="B732" t="str">
            <v>006405</v>
          </cell>
          <cell r="C732">
            <v>9</v>
          </cell>
          <cell r="D732" t="str">
            <v>FONTIBON</v>
          </cell>
          <cell r="E732" t="str">
            <v>006405</v>
          </cell>
          <cell r="F732" t="str">
            <v>FERROCAJA FONTIBON</v>
          </cell>
        </row>
        <row r="733">
          <cell r="B733" t="str">
            <v>006406</v>
          </cell>
          <cell r="C733">
            <v>9</v>
          </cell>
          <cell r="D733" t="str">
            <v>FONTIBON</v>
          </cell>
          <cell r="E733" t="str">
            <v>006406</v>
          </cell>
          <cell r="F733" t="str">
            <v>VILLEMAR</v>
          </cell>
        </row>
        <row r="734">
          <cell r="B734" t="str">
            <v>006407</v>
          </cell>
          <cell r="C734">
            <v>9</v>
          </cell>
          <cell r="D734" t="str">
            <v>FONTIBON</v>
          </cell>
          <cell r="E734" t="str">
            <v>006407</v>
          </cell>
          <cell r="F734" t="str">
            <v>GUADUAL FONTIBON</v>
          </cell>
        </row>
        <row r="735">
          <cell r="B735" t="str">
            <v>006408</v>
          </cell>
          <cell r="C735">
            <v>9</v>
          </cell>
          <cell r="D735" t="str">
            <v>FONTIBON</v>
          </cell>
          <cell r="E735" t="str">
            <v>006408</v>
          </cell>
          <cell r="F735" t="str">
            <v>EL CARMEN FONTIBON</v>
          </cell>
        </row>
        <row r="736">
          <cell r="B736" t="str">
            <v>006409</v>
          </cell>
          <cell r="C736">
            <v>9</v>
          </cell>
          <cell r="D736" t="str">
            <v>FONTIBON</v>
          </cell>
          <cell r="E736" t="str">
            <v>006409</v>
          </cell>
          <cell r="F736" t="str">
            <v>BELEN FONTIBON</v>
          </cell>
        </row>
        <row r="737">
          <cell r="B737" t="str">
            <v>006410</v>
          </cell>
          <cell r="C737">
            <v>9</v>
          </cell>
          <cell r="D737" t="str">
            <v>FONTIBON</v>
          </cell>
          <cell r="E737" t="str">
            <v>006410</v>
          </cell>
          <cell r="F737" t="str">
            <v>CENTRO FONTIBON</v>
          </cell>
        </row>
        <row r="738">
          <cell r="B738" t="str">
            <v>006411</v>
          </cell>
          <cell r="C738">
            <v>9</v>
          </cell>
          <cell r="D738" t="str">
            <v>FONTIBON</v>
          </cell>
          <cell r="E738" t="str">
            <v>006411</v>
          </cell>
          <cell r="F738" t="str">
            <v>CHARCO URBANO</v>
          </cell>
        </row>
        <row r="739">
          <cell r="B739" t="str">
            <v>006413</v>
          </cell>
          <cell r="C739">
            <v>9</v>
          </cell>
          <cell r="D739" t="str">
            <v>FONTIBON</v>
          </cell>
          <cell r="E739" t="str">
            <v>006413</v>
          </cell>
          <cell r="F739" t="str">
            <v>SAN PABLO JERICO</v>
          </cell>
        </row>
        <row r="740">
          <cell r="B740" t="str">
            <v>006414</v>
          </cell>
          <cell r="C740">
            <v>9</v>
          </cell>
          <cell r="D740" t="str">
            <v>FONTIBON</v>
          </cell>
          <cell r="E740" t="str">
            <v>006414</v>
          </cell>
          <cell r="F740" t="str">
            <v>BRISAS ALDEA FONTIBON</v>
          </cell>
        </row>
        <row r="741">
          <cell r="B741" t="str">
            <v>006415</v>
          </cell>
          <cell r="C741">
            <v>9</v>
          </cell>
          <cell r="D741" t="str">
            <v>FONTIBON</v>
          </cell>
          <cell r="E741" t="str">
            <v>006415</v>
          </cell>
          <cell r="F741" t="str">
            <v>LA LAGUNA FONTIBON</v>
          </cell>
        </row>
        <row r="742">
          <cell r="B742" t="str">
            <v>006416</v>
          </cell>
          <cell r="C742">
            <v>9</v>
          </cell>
          <cell r="D742" t="str">
            <v>FONTIBON</v>
          </cell>
          <cell r="E742" t="str">
            <v>006416</v>
          </cell>
          <cell r="F742" t="str">
            <v>ATAHUALPA</v>
          </cell>
        </row>
        <row r="743">
          <cell r="B743" t="str">
            <v>006417</v>
          </cell>
          <cell r="C743">
            <v>9</v>
          </cell>
          <cell r="D743" t="str">
            <v>FONTIBON</v>
          </cell>
          <cell r="E743" t="str">
            <v>006417</v>
          </cell>
          <cell r="F743" t="str">
            <v>VILLA CARMENZA</v>
          </cell>
        </row>
        <row r="744">
          <cell r="B744" t="str">
            <v>006418</v>
          </cell>
          <cell r="C744">
            <v>9</v>
          </cell>
          <cell r="D744" t="str">
            <v>FONTIBON</v>
          </cell>
          <cell r="E744" t="str">
            <v>006418</v>
          </cell>
          <cell r="F744" t="str">
            <v>PUENTE GRANDE</v>
          </cell>
        </row>
        <row r="745">
          <cell r="B745" t="str">
            <v>006419</v>
          </cell>
          <cell r="C745">
            <v>9</v>
          </cell>
          <cell r="D745" t="str">
            <v>FONTIBON</v>
          </cell>
          <cell r="E745" t="str">
            <v>006419</v>
          </cell>
          <cell r="F745" t="str">
            <v>EL REFUGIO</v>
          </cell>
        </row>
        <row r="746">
          <cell r="B746" t="str">
            <v>006420</v>
          </cell>
          <cell r="C746">
            <v>9</v>
          </cell>
          <cell r="D746" t="str">
            <v>FONTIBON</v>
          </cell>
          <cell r="E746" t="str">
            <v>006420</v>
          </cell>
          <cell r="F746" t="str">
            <v>LA GIRALDA</v>
          </cell>
        </row>
        <row r="747">
          <cell r="B747" t="str">
            <v>006423</v>
          </cell>
          <cell r="C747">
            <v>9</v>
          </cell>
          <cell r="D747" t="str">
            <v>FONTIBON</v>
          </cell>
          <cell r="E747" t="str">
            <v>006423</v>
          </cell>
          <cell r="F747" t="str">
            <v>EL TINTAL CENTRAL</v>
          </cell>
        </row>
        <row r="748">
          <cell r="B748" t="str">
            <v>006501</v>
          </cell>
          <cell r="C748">
            <v>8</v>
          </cell>
          <cell r="D748" t="str">
            <v>KENNEDY</v>
          </cell>
          <cell r="E748" t="str">
            <v>006501</v>
          </cell>
          <cell r="F748" t="str">
            <v>COOPERATIVA DE SUB-OFICIALES</v>
          </cell>
        </row>
        <row r="749">
          <cell r="B749" t="str">
            <v>006502</v>
          </cell>
          <cell r="C749">
            <v>8</v>
          </cell>
          <cell r="D749" t="str">
            <v>KENNEDY</v>
          </cell>
          <cell r="E749" t="str">
            <v>006502</v>
          </cell>
          <cell r="F749" t="str">
            <v>MARSELLA</v>
          </cell>
        </row>
        <row r="750">
          <cell r="B750" t="str">
            <v>006503</v>
          </cell>
          <cell r="C750">
            <v>8</v>
          </cell>
          <cell r="D750" t="str">
            <v>KENNEDY</v>
          </cell>
          <cell r="E750" t="str">
            <v>006503</v>
          </cell>
          <cell r="F750" t="str">
            <v>VISION DE ORIENTE</v>
          </cell>
        </row>
        <row r="751">
          <cell r="B751" t="str">
            <v>006504</v>
          </cell>
          <cell r="C751">
            <v>8</v>
          </cell>
          <cell r="D751" t="str">
            <v>KENNEDY</v>
          </cell>
          <cell r="E751" t="str">
            <v>006504</v>
          </cell>
          <cell r="F751" t="str">
            <v>BAVARIA</v>
          </cell>
        </row>
        <row r="752">
          <cell r="B752" t="str">
            <v>006505</v>
          </cell>
          <cell r="C752">
            <v>8</v>
          </cell>
          <cell r="D752" t="str">
            <v>KENNEDY</v>
          </cell>
          <cell r="E752" t="str">
            <v>006505</v>
          </cell>
          <cell r="F752" t="str">
            <v>PIO XII</v>
          </cell>
        </row>
        <row r="753">
          <cell r="B753" t="str">
            <v>006506</v>
          </cell>
          <cell r="C753">
            <v>8</v>
          </cell>
          <cell r="D753" t="str">
            <v>KENNEDY</v>
          </cell>
          <cell r="E753" t="str">
            <v>006506</v>
          </cell>
          <cell r="F753" t="str">
            <v>CASTILLA</v>
          </cell>
        </row>
        <row r="754">
          <cell r="B754" t="str">
            <v>006507</v>
          </cell>
          <cell r="C754">
            <v>8</v>
          </cell>
          <cell r="D754" t="str">
            <v>KENNEDY</v>
          </cell>
          <cell r="E754" t="str">
            <v>006507</v>
          </cell>
          <cell r="F754" t="str">
            <v>NUEVO TECHO</v>
          </cell>
        </row>
        <row r="755">
          <cell r="B755" t="str">
            <v>006508</v>
          </cell>
          <cell r="C755">
            <v>8</v>
          </cell>
          <cell r="D755" t="str">
            <v>KENNEDY</v>
          </cell>
          <cell r="E755" t="str">
            <v>006508</v>
          </cell>
          <cell r="F755" t="str">
            <v>LAS DOS AVENIDAS</v>
          </cell>
        </row>
        <row r="756">
          <cell r="B756" t="str">
            <v>006509</v>
          </cell>
          <cell r="C756">
            <v>8</v>
          </cell>
          <cell r="D756" t="str">
            <v>KENNEDY</v>
          </cell>
          <cell r="E756" t="str">
            <v>006509</v>
          </cell>
          <cell r="F756" t="str">
            <v>LUSITANIA</v>
          </cell>
        </row>
        <row r="757">
          <cell r="B757" t="str">
            <v>006510</v>
          </cell>
          <cell r="C757">
            <v>8</v>
          </cell>
          <cell r="D757" t="str">
            <v>KENNEDY</v>
          </cell>
          <cell r="E757" t="str">
            <v>006510</v>
          </cell>
          <cell r="F757" t="str">
            <v>VILLA ALSACIA II</v>
          </cell>
        </row>
        <row r="758">
          <cell r="B758" t="str">
            <v>006511</v>
          </cell>
          <cell r="C758">
            <v>8</v>
          </cell>
          <cell r="D758" t="str">
            <v>KENNEDY</v>
          </cell>
          <cell r="E758" t="str">
            <v>006511</v>
          </cell>
          <cell r="F758" t="str">
            <v>LA PAMPA</v>
          </cell>
        </row>
        <row r="759">
          <cell r="B759" t="str">
            <v>006512</v>
          </cell>
          <cell r="C759">
            <v>8</v>
          </cell>
          <cell r="D759" t="str">
            <v>KENNEDY</v>
          </cell>
          <cell r="E759" t="str">
            <v>006512</v>
          </cell>
          <cell r="F759" t="str">
            <v>VILLA ALSACIA</v>
          </cell>
        </row>
        <row r="760">
          <cell r="B760" t="str">
            <v>006514</v>
          </cell>
          <cell r="C760">
            <v>8</v>
          </cell>
          <cell r="D760" t="str">
            <v>KENNEDY</v>
          </cell>
          <cell r="E760" t="str">
            <v>006514</v>
          </cell>
          <cell r="F760" t="str">
            <v>VERGEL OCCIDENTAL</v>
          </cell>
        </row>
        <row r="761">
          <cell r="B761" t="str">
            <v>006515</v>
          </cell>
          <cell r="C761">
            <v>8</v>
          </cell>
          <cell r="D761" t="str">
            <v>KENNEDY</v>
          </cell>
          <cell r="E761" t="str">
            <v>006515</v>
          </cell>
          <cell r="F761" t="str">
            <v>VALLADOLID</v>
          </cell>
        </row>
        <row r="762">
          <cell r="B762" t="str">
            <v>006516</v>
          </cell>
          <cell r="C762">
            <v>8</v>
          </cell>
          <cell r="D762" t="str">
            <v>KENNEDY</v>
          </cell>
          <cell r="E762" t="str">
            <v>006516</v>
          </cell>
          <cell r="F762" t="str">
            <v>TINTALA</v>
          </cell>
        </row>
        <row r="763">
          <cell r="B763" t="str">
            <v>006517</v>
          </cell>
          <cell r="C763">
            <v>8</v>
          </cell>
          <cell r="D763" t="str">
            <v>KENNEDY</v>
          </cell>
          <cell r="E763" t="str">
            <v>006517</v>
          </cell>
          <cell r="F763" t="str">
            <v>MARIA PAZ</v>
          </cell>
        </row>
        <row r="764">
          <cell r="B764" t="str">
            <v>006518</v>
          </cell>
          <cell r="C764">
            <v>8</v>
          </cell>
          <cell r="D764" t="str">
            <v>KENNEDY</v>
          </cell>
          <cell r="E764" t="str">
            <v>006518</v>
          </cell>
          <cell r="F764" t="str">
            <v>OSORIO III</v>
          </cell>
        </row>
        <row r="765">
          <cell r="B765" t="str">
            <v>006519</v>
          </cell>
          <cell r="C765">
            <v>9</v>
          </cell>
          <cell r="D765" t="str">
            <v>FONTIBON</v>
          </cell>
          <cell r="E765" t="str">
            <v>006519</v>
          </cell>
          <cell r="F765" t="str">
            <v>MORAVIA</v>
          </cell>
        </row>
        <row r="766">
          <cell r="B766" t="str">
            <v>006520</v>
          </cell>
          <cell r="C766">
            <v>9</v>
          </cell>
          <cell r="D766" t="str">
            <v>FONTIBON</v>
          </cell>
          <cell r="E766" t="str">
            <v>006520</v>
          </cell>
          <cell r="F766" t="str">
            <v>ZONA FRANCA</v>
          </cell>
        </row>
        <row r="767">
          <cell r="B767" t="str">
            <v>006521</v>
          </cell>
          <cell r="C767">
            <v>9</v>
          </cell>
          <cell r="D767" t="str">
            <v>FONTIBON</v>
          </cell>
          <cell r="E767" t="str">
            <v>006521</v>
          </cell>
          <cell r="F767" t="str">
            <v>SABANA GRANDE</v>
          </cell>
        </row>
        <row r="768">
          <cell r="B768" t="str">
            <v>006522</v>
          </cell>
          <cell r="C768">
            <v>9</v>
          </cell>
          <cell r="D768" t="str">
            <v>FONTIBON</v>
          </cell>
          <cell r="E768" t="str">
            <v>006522</v>
          </cell>
          <cell r="F768" t="str">
            <v>EL TINTAL II</v>
          </cell>
        </row>
        <row r="769">
          <cell r="B769" t="str">
            <v>006523</v>
          </cell>
          <cell r="C769">
            <v>9</v>
          </cell>
          <cell r="D769" t="str">
            <v>FONTIBON</v>
          </cell>
          <cell r="E769" t="str">
            <v>006523</v>
          </cell>
          <cell r="F769" t="str">
            <v>SAN PEDRO DE LOS ROBLES</v>
          </cell>
        </row>
        <row r="770">
          <cell r="B770" t="str">
            <v>006524</v>
          </cell>
          <cell r="C770">
            <v>8</v>
          </cell>
          <cell r="D770" t="str">
            <v>KENNEDY</v>
          </cell>
          <cell r="E770" t="str">
            <v>006524</v>
          </cell>
          <cell r="F770" t="str">
            <v>LA MAGDALENA</v>
          </cell>
        </row>
        <row r="771">
          <cell r="B771" t="str">
            <v>006525</v>
          </cell>
          <cell r="C771">
            <v>9</v>
          </cell>
          <cell r="D771" t="str">
            <v>FONTIBON</v>
          </cell>
          <cell r="E771" t="str">
            <v>006525</v>
          </cell>
          <cell r="F771" t="str">
            <v>EL CHANCO I</v>
          </cell>
        </row>
        <row r="772">
          <cell r="B772" t="str">
            <v>006527</v>
          </cell>
          <cell r="C772">
            <v>9</v>
          </cell>
          <cell r="D772" t="str">
            <v>FONTIBON</v>
          </cell>
          <cell r="E772" t="str">
            <v>006527</v>
          </cell>
          <cell r="F772" t="str">
            <v>INTERINDUSTRIAL</v>
          </cell>
        </row>
        <row r="773">
          <cell r="B773" t="str">
            <v>006528</v>
          </cell>
          <cell r="C773">
            <v>8</v>
          </cell>
          <cell r="D773" t="str">
            <v>KENNEDY</v>
          </cell>
          <cell r="E773" t="str">
            <v>006528</v>
          </cell>
          <cell r="F773" t="str">
            <v>EL VERGEL</v>
          </cell>
        </row>
        <row r="774">
          <cell r="B774" t="str">
            <v>006529</v>
          </cell>
          <cell r="C774">
            <v>8</v>
          </cell>
          <cell r="D774" t="str">
            <v>KENNEDY</v>
          </cell>
          <cell r="E774" t="str">
            <v>006529</v>
          </cell>
          <cell r="F774" t="str">
            <v>EL VERGEL ORIENTAL</v>
          </cell>
        </row>
        <row r="775">
          <cell r="B775" t="str">
            <v>006531</v>
          </cell>
          <cell r="C775">
            <v>8</v>
          </cell>
          <cell r="D775" t="str">
            <v>KENNEDY</v>
          </cell>
          <cell r="E775" t="str">
            <v>006531</v>
          </cell>
          <cell r="F775" t="str">
            <v>CIUDAD TECHO II</v>
          </cell>
        </row>
        <row r="776">
          <cell r="B776" t="str">
            <v>006532</v>
          </cell>
          <cell r="C776">
            <v>9</v>
          </cell>
          <cell r="D776" t="str">
            <v>FONTIBON</v>
          </cell>
          <cell r="E776" t="str">
            <v>006532</v>
          </cell>
          <cell r="F776" t="str">
            <v>KASANDRA</v>
          </cell>
        </row>
        <row r="777">
          <cell r="B777" t="str">
            <v>006533</v>
          </cell>
          <cell r="C777">
            <v>8</v>
          </cell>
          <cell r="D777" t="str">
            <v>KENNEDY</v>
          </cell>
          <cell r="E777" t="str">
            <v>006533</v>
          </cell>
          <cell r="F777" t="str">
            <v>EL TINTAL III</v>
          </cell>
        </row>
        <row r="778">
          <cell r="B778" t="str">
            <v>006534</v>
          </cell>
          <cell r="C778">
            <v>8</v>
          </cell>
          <cell r="D778" t="str">
            <v>KENNEDY</v>
          </cell>
          <cell r="E778" t="str">
            <v>006534</v>
          </cell>
          <cell r="F778" t="str">
            <v>EL TINTAL IV</v>
          </cell>
        </row>
        <row r="779">
          <cell r="B779" t="str">
            <v>007101</v>
          </cell>
          <cell r="C779">
            <v>13</v>
          </cell>
          <cell r="D779" t="str">
            <v>TEUSAQUILLO</v>
          </cell>
          <cell r="E779" t="str">
            <v>007101</v>
          </cell>
          <cell r="F779" t="str">
            <v>LA SOLEDAD</v>
          </cell>
        </row>
        <row r="780">
          <cell r="B780" t="str">
            <v>007102</v>
          </cell>
          <cell r="C780">
            <v>13</v>
          </cell>
          <cell r="D780" t="str">
            <v>TEUSAQUILLO</v>
          </cell>
          <cell r="E780" t="str">
            <v>007102</v>
          </cell>
          <cell r="F780" t="str">
            <v>SANTA TERESITA</v>
          </cell>
        </row>
        <row r="781">
          <cell r="B781" t="str">
            <v>007103</v>
          </cell>
          <cell r="C781">
            <v>13</v>
          </cell>
          <cell r="D781" t="str">
            <v>TEUSAQUILLO</v>
          </cell>
          <cell r="E781" t="str">
            <v>007103</v>
          </cell>
          <cell r="F781" t="str">
            <v>LA MAGDALENA</v>
          </cell>
        </row>
        <row r="782">
          <cell r="B782" t="str">
            <v>007104</v>
          </cell>
          <cell r="C782">
            <v>13</v>
          </cell>
          <cell r="D782" t="str">
            <v>TEUSAQUILLO</v>
          </cell>
          <cell r="E782" t="str">
            <v>007104</v>
          </cell>
          <cell r="F782" t="str">
            <v>TEUSAQUILLO</v>
          </cell>
        </row>
        <row r="783">
          <cell r="B783" t="str">
            <v>007105</v>
          </cell>
          <cell r="C783">
            <v>13</v>
          </cell>
          <cell r="D783" t="str">
            <v>TEUSAQUILLO</v>
          </cell>
          <cell r="E783" t="str">
            <v>007105</v>
          </cell>
          <cell r="F783" t="str">
            <v>ARMENIA</v>
          </cell>
        </row>
        <row r="784">
          <cell r="B784" t="str">
            <v>007106</v>
          </cell>
          <cell r="C784">
            <v>13</v>
          </cell>
          <cell r="D784" t="str">
            <v>TEUSAQUILLO</v>
          </cell>
          <cell r="E784" t="str">
            <v>007106</v>
          </cell>
          <cell r="F784" t="str">
            <v>ESTRELLA</v>
          </cell>
        </row>
        <row r="785">
          <cell r="B785" t="str">
            <v>007107</v>
          </cell>
          <cell r="C785">
            <v>13</v>
          </cell>
          <cell r="D785" t="str">
            <v>TEUSAQUILLO</v>
          </cell>
          <cell r="E785" t="str">
            <v>007107</v>
          </cell>
          <cell r="F785" t="str">
            <v>LAS AMERICAS</v>
          </cell>
        </row>
        <row r="786">
          <cell r="B786" t="str">
            <v>007201</v>
          </cell>
          <cell r="C786">
            <v>13</v>
          </cell>
          <cell r="D786" t="str">
            <v>TEUSAQUILLO</v>
          </cell>
          <cell r="E786" t="str">
            <v>007201</v>
          </cell>
          <cell r="F786" t="str">
            <v>CAMPIN</v>
          </cell>
        </row>
        <row r="787">
          <cell r="B787" t="str">
            <v>007202</v>
          </cell>
          <cell r="C787">
            <v>13</v>
          </cell>
          <cell r="D787" t="str">
            <v>TEUSAQUILLO</v>
          </cell>
          <cell r="E787" t="str">
            <v>007202</v>
          </cell>
          <cell r="F787" t="str">
            <v>SAN LUIS</v>
          </cell>
        </row>
        <row r="788">
          <cell r="B788" t="str">
            <v>007203</v>
          </cell>
          <cell r="C788">
            <v>13</v>
          </cell>
          <cell r="D788" t="str">
            <v>TEUSAQUILLO</v>
          </cell>
          <cell r="E788" t="str">
            <v>007203</v>
          </cell>
          <cell r="F788" t="str">
            <v>CHAPINERO OCCIDENTAL</v>
          </cell>
        </row>
        <row r="789">
          <cell r="B789" t="str">
            <v>007204</v>
          </cell>
          <cell r="C789">
            <v>13</v>
          </cell>
          <cell r="D789" t="str">
            <v>TEUSAQUILLO</v>
          </cell>
          <cell r="E789" t="str">
            <v>007204</v>
          </cell>
          <cell r="F789" t="str">
            <v>QUESADA</v>
          </cell>
        </row>
        <row r="790">
          <cell r="B790" t="str">
            <v>007205</v>
          </cell>
          <cell r="C790">
            <v>13</v>
          </cell>
          <cell r="D790" t="str">
            <v>TEUSAQUILLO</v>
          </cell>
          <cell r="E790" t="str">
            <v>007205</v>
          </cell>
          <cell r="F790" t="str">
            <v>PALERMO</v>
          </cell>
        </row>
        <row r="791">
          <cell r="B791" t="str">
            <v>007206</v>
          </cell>
          <cell r="C791">
            <v>13</v>
          </cell>
          <cell r="D791" t="str">
            <v>TEUSAQUILLO</v>
          </cell>
          <cell r="E791" t="str">
            <v>007206</v>
          </cell>
          <cell r="F791" t="str">
            <v>BELALCAZAR</v>
          </cell>
        </row>
        <row r="792">
          <cell r="B792" t="str">
            <v>007207</v>
          </cell>
          <cell r="C792">
            <v>13</v>
          </cell>
          <cell r="D792" t="str">
            <v>TEUSAQUILLO</v>
          </cell>
          <cell r="E792" t="str">
            <v>007207</v>
          </cell>
          <cell r="F792" t="str">
            <v>GALERIAS</v>
          </cell>
        </row>
        <row r="793">
          <cell r="B793" t="str">
            <v>007208</v>
          </cell>
          <cell r="C793">
            <v>13</v>
          </cell>
          <cell r="D793" t="str">
            <v>TEUSAQUILLO</v>
          </cell>
          <cell r="E793" t="str">
            <v>007208</v>
          </cell>
          <cell r="F793" t="str">
            <v>BANCO CENTRAL</v>
          </cell>
        </row>
        <row r="794">
          <cell r="B794" t="str">
            <v>007209</v>
          </cell>
          <cell r="C794">
            <v>13</v>
          </cell>
          <cell r="D794" t="str">
            <v>TEUSAQUILLO</v>
          </cell>
          <cell r="E794" t="str">
            <v>007209</v>
          </cell>
          <cell r="F794" t="str">
            <v>ALFONSO LOPEZ</v>
          </cell>
        </row>
        <row r="795">
          <cell r="B795" t="str">
            <v>007301</v>
          </cell>
          <cell r="C795">
            <v>12</v>
          </cell>
          <cell r="D795" t="str">
            <v>BARRIOS UNIDOS</v>
          </cell>
          <cell r="E795" t="str">
            <v>007301</v>
          </cell>
          <cell r="F795" t="str">
            <v>LA MERCED NORTE</v>
          </cell>
        </row>
        <row r="796">
          <cell r="B796" t="str">
            <v>007302</v>
          </cell>
          <cell r="C796">
            <v>12</v>
          </cell>
          <cell r="D796" t="str">
            <v>BARRIOS UNIDOS</v>
          </cell>
          <cell r="E796" t="str">
            <v>007302</v>
          </cell>
          <cell r="F796" t="str">
            <v>ALCAZARES</v>
          </cell>
        </row>
        <row r="797">
          <cell r="B797" t="str">
            <v>007303</v>
          </cell>
          <cell r="C797">
            <v>12</v>
          </cell>
          <cell r="D797" t="str">
            <v>BARRIOS UNIDOS</v>
          </cell>
          <cell r="E797" t="str">
            <v>007303</v>
          </cell>
          <cell r="F797" t="str">
            <v>COLOMBIA</v>
          </cell>
        </row>
        <row r="798">
          <cell r="B798" t="str">
            <v>007304</v>
          </cell>
          <cell r="C798">
            <v>12</v>
          </cell>
          <cell r="D798" t="str">
            <v>BARRIOS UNIDOS</v>
          </cell>
          <cell r="E798" t="str">
            <v>007304</v>
          </cell>
          <cell r="F798" t="str">
            <v>CONCEPCION NORTE</v>
          </cell>
        </row>
        <row r="799">
          <cell r="B799" t="str">
            <v>007305</v>
          </cell>
          <cell r="C799">
            <v>12</v>
          </cell>
          <cell r="D799" t="str">
            <v>BARRIOS UNIDOS</v>
          </cell>
          <cell r="E799" t="str">
            <v>007305</v>
          </cell>
          <cell r="F799" t="str">
            <v>LA ESPERANZA</v>
          </cell>
        </row>
        <row r="800">
          <cell r="B800" t="str">
            <v>007306</v>
          </cell>
          <cell r="C800">
            <v>12</v>
          </cell>
          <cell r="D800" t="str">
            <v>BARRIOS UNIDOS</v>
          </cell>
          <cell r="E800" t="str">
            <v>007306</v>
          </cell>
          <cell r="F800" t="str">
            <v>BAQUERO</v>
          </cell>
        </row>
        <row r="801">
          <cell r="B801" t="str">
            <v>007307</v>
          </cell>
          <cell r="C801">
            <v>12</v>
          </cell>
          <cell r="D801" t="str">
            <v>BARRIOS UNIDOS</v>
          </cell>
          <cell r="E801" t="str">
            <v>007307</v>
          </cell>
          <cell r="F801" t="str">
            <v>MUEQUETA</v>
          </cell>
        </row>
        <row r="802">
          <cell r="B802" t="str">
            <v>007308</v>
          </cell>
          <cell r="C802">
            <v>12</v>
          </cell>
          <cell r="D802" t="str">
            <v>BARRIOS UNIDOS</v>
          </cell>
          <cell r="E802" t="str">
            <v>007308</v>
          </cell>
          <cell r="F802" t="str">
            <v>QUINTA MUTIS</v>
          </cell>
        </row>
        <row r="803">
          <cell r="B803" t="str">
            <v>007309</v>
          </cell>
          <cell r="C803">
            <v>12</v>
          </cell>
          <cell r="D803" t="str">
            <v>BARRIOS UNIDOS</v>
          </cell>
          <cell r="E803" t="str">
            <v>007309</v>
          </cell>
          <cell r="F803" t="str">
            <v>BENJAMIN HERRERA</v>
          </cell>
        </row>
        <row r="804">
          <cell r="B804" t="str">
            <v>007310</v>
          </cell>
          <cell r="C804">
            <v>12</v>
          </cell>
          <cell r="D804" t="str">
            <v>BARRIOS UNIDOS</v>
          </cell>
          <cell r="E804" t="str">
            <v>007310</v>
          </cell>
          <cell r="F804" t="str">
            <v>LA PAZ</v>
          </cell>
        </row>
        <row r="805">
          <cell r="B805" t="str">
            <v>007311</v>
          </cell>
          <cell r="C805">
            <v>12</v>
          </cell>
          <cell r="D805" t="str">
            <v>BARRIOS UNIDOS</v>
          </cell>
          <cell r="E805" t="str">
            <v>007311</v>
          </cell>
          <cell r="F805" t="str">
            <v>SIETE DE AGOSTO</v>
          </cell>
        </row>
        <row r="806">
          <cell r="B806" t="str">
            <v>007312</v>
          </cell>
          <cell r="C806">
            <v>12</v>
          </cell>
          <cell r="D806" t="str">
            <v>BARRIOS UNIDOS</v>
          </cell>
          <cell r="E806" t="str">
            <v>007312</v>
          </cell>
          <cell r="F806" t="str">
            <v>RAFAEL URIBE</v>
          </cell>
        </row>
        <row r="807">
          <cell r="B807" t="str">
            <v>007401</v>
          </cell>
          <cell r="C807">
            <v>12</v>
          </cell>
          <cell r="D807" t="str">
            <v>BARRIOS UNIDOS</v>
          </cell>
          <cell r="E807" t="str">
            <v>007401</v>
          </cell>
          <cell r="F807" t="str">
            <v>POLO CLUB</v>
          </cell>
        </row>
        <row r="808">
          <cell r="B808" t="str">
            <v>007402</v>
          </cell>
          <cell r="C808">
            <v>12</v>
          </cell>
          <cell r="D808" t="str">
            <v>BARRIOS UNIDOS</v>
          </cell>
          <cell r="E808" t="str">
            <v>007402</v>
          </cell>
          <cell r="F808" t="str">
            <v>JUAN XXIII</v>
          </cell>
        </row>
        <row r="809">
          <cell r="B809" t="str">
            <v>007403</v>
          </cell>
          <cell r="C809">
            <v>12</v>
          </cell>
          <cell r="D809" t="str">
            <v>BARRIOS UNIDOS</v>
          </cell>
          <cell r="E809" t="str">
            <v>007403</v>
          </cell>
          <cell r="F809" t="str">
            <v>SAN FELIPE</v>
          </cell>
        </row>
        <row r="810">
          <cell r="B810" t="str">
            <v>007404</v>
          </cell>
          <cell r="C810">
            <v>12</v>
          </cell>
          <cell r="D810" t="str">
            <v>BARRIOS UNIDOS</v>
          </cell>
          <cell r="E810" t="str">
            <v>007404</v>
          </cell>
          <cell r="F810" t="str">
            <v>ALCAZARES NORTE</v>
          </cell>
        </row>
        <row r="811">
          <cell r="B811" t="str">
            <v>007405</v>
          </cell>
          <cell r="C811">
            <v>12</v>
          </cell>
          <cell r="D811" t="str">
            <v>BARRIOS UNIDOS</v>
          </cell>
          <cell r="E811" t="str">
            <v>007405</v>
          </cell>
          <cell r="F811" t="str">
            <v>ONCE DE NOVIEMBRE</v>
          </cell>
        </row>
        <row r="812">
          <cell r="B812" t="str">
            <v>007406</v>
          </cell>
          <cell r="C812">
            <v>12</v>
          </cell>
          <cell r="D812" t="str">
            <v>BARRIOS UNIDOS</v>
          </cell>
          <cell r="E812" t="str">
            <v>007406</v>
          </cell>
          <cell r="F812" t="str">
            <v>SANTA SOFIA</v>
          </cell>
        </row>
        <row r="813">
          <cell r="B813" t="str">
            <v>007407</v>
          </cell>
          <cell r="C813">
            <v>12</v>
          </cell>
          <cell r="D813" t="str">
            <v>BARRIOS UNIDOS</v>
          </cell>
          <cell r="E813" t="str">
            <v>007407</v>
          </cell>
          <cell r="F813" t="str">
            <v>LA AURORA</v>
          </cell>
        </row>
        <row r="814">
          <cell r="B814" t="str">
            <v>008101</v>
          </cell>
          <cell r="C814">
            <v>3</v>
          </cell>
          <cell r="D814" t="str">
            <v>SANTA FE</v>
          </cell>
          <cell r="E814" t="str">
            <v>008101</v>
          </cell>
          <cell r="F814" t="str">
            <v>SAGRADO CORAZON</v>
          </cell>
        </row>
        <row r="815">
          <cell r="B815" t="str">
            <v>008102</v>
          </cell>
          <cell r="C815">
            <v>3</v>
          </cell>
          <cell r="D815" t="str">
            <v>SANTA FE</v>
          </cell>
          <cell r="E815" t="str">
            <v>008102</v>
          </cell>
          <cell r="F815" t="str">
            <v>PARQUE NACIONAL</v>
          </cell>
        </row>
        <row r="816">
          <cell r="B816" t="str">
            <v>008103</v>
          </cell>
          <cell r="C816">
            <v>3</v>
          </cell>
          <cell r="D816" t="str">
            <v>SANTA FE</v>
          </cell>
          <cell r="E816" t="str">
            <v>008103</v>
          </cell>
          <cell r="F816" t="str">
            <v>LA MERCED</v>
          </cell>
        </row>
        <row r="817">
          <cell r="B817" t="str">
            <v>008104</v>
          </cell>
          <cell r="C817">
            <v>3</v>
          </cell>
          <cell r="D817" t="str">
            <v>SANTA FE</v>
          </cell>
          <cell r="E817" t="str">
            <v>008104</v>
          </cell>
          <cell r="F817" t="str">
            <v>LA PERSEVERANCIA</v>
          </cell>
        </row>
        <row r="818">
          <cell r="B818" t="str">
            <v>008105</v>
          </cell>
          <cell r="C818">
            <v>3</v>
          </cell>
          <cell r="D818" t="str">
            <v>SANTA FE</v>
          </cell>
          <cell r="E818" t="str">
            <v>008105</v>
          </cell>
          <cell r="F818" t="str">
            <v>LA MACARENA</v>
          </cell>
        </row>
        <row r="819">
          <cell r="B819" t="str">
            <v>008106</v>
          </cell>
          <cell r="C819">
            <v>3</v>
          </cell>
          <cell r="D819" t="str">
            <v>SANTA FE</v>
          </cell>
          <cell r="E819" t="str">
            <v>008106</v>
          </cell>
          <cell r="F819" t="str">
            <v>BOSQUE IZQUIERDO</v>
          </cell>
        </row>
        <row r="820">
          <cell r="B820" t="str">
            <v>008107</v>
          </cell>
          <cell r="C820">
            <v>3</v>
          </cell>
          <cell r="D820" t="str">
            <v>SANTA FE</v>
          </cell>
          <cell r="E820" t="str">
            <v>008107</v>
          </cell>
          <cell r="F820" t="str">
            <v>SAN DIEGO</v>
          </cell>
        </row>
        <row r="821">
          <cell r="B821" t="str">
            <v>008108</v>
          </cell>
          <cell r="C821">
            <v>3</v>
          </cell>
          <cell r="D821" t="str">
            <v>SANTA FE</v>
          </cell>
          <cell r="E821" t="str">
            <v>008108</v>
          </cell>
          <cell r="F821" t="str">
            <v>SAMPER</v>
          </cell>
        </row>
        <row r="822">
          <cell r="B822" t="str">
            <v>008109</v>
          </cell>
          <cell r="C822">
            <v>3</v>
          </cell>
          <cell r="D822" t="str">
            <v>SANTA FE</v>
          </cell>
          <cell r="E822" t="str">
            <v>008109</v>
          </cell>
          <cell r="F822" t="str">
            <v>SAN MARTIN</v>
          </cell>
        </row>
        <row r="823">
          <cell r="B823" t="str">
            <v>008110</v>
          </cell>
          <cell r="C823">
            <v>2</v>
          </cell>
          <cell r="D823" t="str">
            <v>CHAPINERO</v>
          </cell>
          <cell r="E823" t="str">
            <v>008110</v>
          </cell>
          <cell r="F823" t="str">
            <v>EL PARAISO</v>
          </cell>
        </row>
        <row r="824">
          <cell r="B824" t="str">
            <v>008111</v>
          </cell>
          <cell r="C824">
            <v>2</v>
          </cell>
          <cell r="D824" t="str">
            <v>CHAPINERO</v>
          </cell>
          <cell r="E824" t="str">
            <v>008111</v>
          </cell>
          <cell r="F824" t="str">
            <v>CATALUNA</v>
          </cell>
        </row>
        <row r="825">
          <cell r="B825" t="str">
            <v>008112</v>
          </cell>
          <cell r="C825">
            <v>2</v>
          </cell>
          <cell r="D825" t="str">
            <v>CHAPINERO</v>
          </cell>
          <cell r="E825" t="str">
            <v>008112</v>
          </cell>
          <cell r="F825" t="str">
            <v>SUCRE</v>
          </cell>
        </row>
        <row r="826">
          <cell r="B826" t="str">
            <v>008114</v>
          </cell>
          <cell r="C826">
            <v>3</v>
          </cell>
          <cell r="D826" t="str">
            <v>SANTA FE</v>
          </cell>
          <cell r="E826" t="str">
            <v>008114</v>
          </cell>
          <cell r="F826" t="str">
            <v>PARQUE NACIONAL URBANO</v>
          </cell>
        </row>
        <row r="827">
          <cell r="B827" t="str">
            <v>008201</v>
          </cell>
          <cell r="C827">
            <v>2</v>
          </cell>
          <cell r="D827" t="str">
            <v>CHAPINERO</v>
          </cell>
          <cell r="E827" t="str">
            <v>008201</v>
          </cell>
          <cell r="F827" t="str">
            <v>QUINTA CAMACHO</v>
          </cell>
        </row>
        <row r="828">
          <cell r="B828" t="str">
            <v>008202</v>
          </cell>
          <cell r="C828">
            <v>2</v>
          </cell>
          <cell r="D828" t="str">
            <v>CHAPINERO</v>
          </cell>
          <cell r="E828" t="str">
            <v>008202</v>
          </cell>
          <cell r="F828" t="str">
            <v>EMAUS</v>
          </cell>
        </row>
        <row r="829">
          <cell r="B829" t="str">
            <v>008203</v>
          </cell>
          <cell r="C829">
            <v>2</v>
          </cell>
          <cell r="D829" t="str">
            <v>CHAPINERO</v>
          </cell>
          <cell r="E829" t="str">
            <v>008203</v>
          </cell>
          <cell r="F829" t="str">
            <v>LAS ACACIAS</v>
          </cell>
        </row>
        <row r="830">
          <cell r="B830" t="str">
            <v>008204</v>
          </cell>
          <cell r="C830">
            <v>2</v>
          </cell>
          <cell r="D830" t="str">
            <v>CHAPINERO</v>
          </cell>
          <cell r="E830" t="str">
            <v>008204</v>
          </cell>
          <cell r="F830" t="str">
            <v>GRANADA</v>
          </cell>
        </row>
        <row r="831">
          <cell r="B831" t="str">
            <v>008205</v>
          </cell>
          <cell r="C831">
            <v>2</v>
          </cell>
          <cell r="D831" t="str">
            <v>CHAPINERO</v>
          </cell>
          <cell r="E831" t="str">
            <v>008205</v>
          </cell>
          <cell r="F831" t="str">
            <v>MARIA CRISTINA</v>
          </cell>
        </row>
        <row r="832">
          <cell r="B832" t="str">
            <v>008206</v>
          </cell>
          <cell r="C832">
            <v>2</v>
          </cell>
          <cell r="D832" t="str">
            <v>CHAPINERO</v>
          </cell>
          <cell r="E832" t="str">
            <v>008206</v>
          </cell>
          <cell r="F832" t="str">
            <v>LA SALLE</v>
          </cell>
        </row>
        <row r="833">
          <cell r="B833" t="str">
            <v>008207</v>
          </cell>
          <cell r="C833">
            <v>2</v>
          </cell>
          <cell r="D833" t="str">
            <v>CHAPINERO</v>
          </cell>
          <cell r="E833" t="str">
            <v>008207</v>
          </cell>
          <cell r="F833" t="str">
            <v>BOSQUE CALDERON</v>
          </cell>
        </row>
        <row r="834">
          <cell r="B834" t="str">
            <v>008208</v>
          </cell>
          <cell r="C834">
            <v>2</v>
          </cell>
          <cell r="D834" t="str">
            <v>CHAPINERO</v>
          </cell>
          <cell r="E834" t="str">
            <v>008208</v>
          </cell>
          <cell r="F834" t="str">
            <v>PARDO RUBIO</v>
          </cell>
        </row>
        <row r="835">
          <cell r="B835" t="str">
            <v>008211</v>
          </cell>
          <cell r="C835">
            <v>2</v>
          </cell>
          <cell r="D835" t="str">
            <v>CHAPINERO</v>
          </cell>
          <cell r="E835" t="str">
            <v>008211</v>
          </cell>
          <cell r="F835" t="str">
            <v>JUAN XXIII</v>
          </cell>
        </row>
        <row r="836">
          <cell r="B836" t="str">
            <v>008212</v>
          </cell>
          <cell r="C836">
            <v>2</v>
          </cell>
          <cell r="D836" t="str">
            <v>CHAPINERO</v>
          </cell>
          <cell r="E836" t="str">
            <v>008212</v>
          </cell>
          <cell r="F836" t="str">
            <v>MARLY</v>
          </cell>
        </row>
        <row r="837">
          <cell r="B837" t="str">
            <v>008213</v>
          </cell>
          <cell r="C837">
            <v>2</v>
          </cell>
          <cell r="D837" t="str">
            <v>CHAPINERO</v>
          </cell>
          <cell r="E837" t="str">
            <v>008213</v>
          </cell>
          <cell r="F837" t="str">
            <v>CHAPINERO CENTRAL</v>
          </cell>
        </row>
        <row r="838">
          <cell r="B838" t="str">
            <v>008214</v>
          </cell>
          <cell r="C838">
            <v>2</v>
          </cell>
          <cell r="D838" t="str">
            <v>CHAPINERO</v>
          </cell>
          <cell r="E838" t="str">
            <v>008214</v>
          </cell>
          <cell r="F838" t="str">
            <v>CHAPINERO NORTE</v>
          </cell>
        </row>
        <row r="839">
          <cell r="B839" t="str">
            <v>008215</v>
          </cell>
          <cell r="C839">
            <v>2</v>
          </cell>
          <cell r="D839" t="str">
            <v>CHAPINERO</v>
          </cell>
          <cell r="E839" t="str">
            <v>008215</v>
          </cell>
          <cell r="F839" t="str">
            <v>INGEMAR</v>
          </cell>
        </row>
        <row r="840">
          <cell r="B840" t="str">
            <v>008220</v>
          </cell>
          <cell r="C840">
            <v>2</v>
          </cell>
          <cell r="D840" t="str">
            <v>CHAPINERO</v>
          </cell>
          <cell r="E840" t="str">
            <v>008220</v>
          </cell>
          <cell r="F840" t="str">
            <v>SIBERIA CENTRAL</v>
          </cell>
        </row>
        <row r="841">
          <cell r="B841" t="str">
            <v>008221</v>
          </cell>
          <cell r="C841">
            <v>2</v>
          </cell>
          <cell r="D841" t="str">
            <v>CHAPINERO</v>
          </cell>
          <cell r="E841" t="str">
            <v>008221</v>
          </cell>
          <cell r="F841" t="str">
            <v>SIBERIA URBANO</v>
          </cell>
        </row>
        <row r="842">
          <cell r="B842" t="str">
            <v>008301</v>
          </cell>
          <cell r="C842">
            <v>2</v>
          </cell>
          <cell r="D842" t="str">
            <v>CHAPINERO</v>
          </cell>
          <cell r="E842" t="str">
            <v>008301</v>
          </cell>
          <cell r="F842" t="str">
            <v>CHICO NORTE II SECTOR</v>
          </cell>
        </row>
        <row r="843">
          <cell r="B843" t="str">
            <v>008302</v>
          </cell>
          <cell r="C843">
            <v>2</v>
          </cell>
          <cell r="D843" t="str">
            <v>CHAPINERO</v>
          </cell>
          <cell r="E843" t="str">
            <v>008302</v>
          </cell>
          <cell r="F843" t="str">
            <v>SEMINARIO</v>
          </cell>
        </row>
        <row r="844">
          <cell r="B844" t="str">
            <v>008303</v>
          </cell>
          <cell r="C844">
            <v>2</v>
          </cell>
          <cell r="D844" t="str">
            <v>CHAPINERO</v>
          </cell>
          <cell r="E844" t="str">
            <v>008303</v>
          </cell>
          <cell r="F844" t="str">
            <v>EL REFUGIO</v>
          </cell>
        </row>
        <row r="845">
          <cell r="B845" t="str">
            <v>008304</v>
          </cell>
          <cell r="C845">
            <v>2</v>
          </cell>
          <cell r="D845" t="str">
            <v>CHAPINERO</v>
          </cell>
          <cell r="E845" t="str">
            <v>008304</v>
          </cell>
          <cell r="F845" t="str">
            <v>LOS ROSALES</v>
          </cell>
        </row>
        <row r="846">
          <cell r="B846" t="str">
            <v>008305</v>
          </cell>
          <cell r="C846">
            <v>2</v>
          </cell>
          <cell r="D846" t="str">
            <v>CHAPINERO</v>
          </cell>
          <cell r="E846" t="str">
            <v>008305</v>
          </cell>
          <cell r="F846" t="str">
            <v>BELLAVISTA</v>
          </cell>
        </row>
        <row r="847">
          <cell r="B847" t="str">
            <v>008306</v>
          </cell>
          <cell r="C847">
            <v>2</v>
          </cell>
          <cell r="D847" t="str">
            <v>CHAPINERO</v>
          </cell>
          <cell r="E847" t="str">
            <v>008306</v>
          </cell>
          <cell r="F847" t="str">
            <v>PORCIUNCULA</v>
          </cell>
        </row>
        <row r="848">
          <cell r="B848" t="str">
            <v>008307</v>
          </cell>
          <cell r="C848">
            <v>2</v>
          </cell>
          <cell r="D848" t="str">
            <v>CHAPINERO</v>
          </cell>
          <cell r="E848" t="str">
            <v>008307</v>
          </cell>
          <cell r="F848" t="str">
            <v>CHICO NORTE</v>
          </cell>
        </row>
        <row r="849">
          <cell r="B849" t="str">
            <v>008308</v>
          </cell>
          <cell r="C849">
            <v>2</v>
          </cell>
          <cell r="D849" t="str">
            <v>CHAPINERO</v>
          </cell>
          <cell r="E849" t="str">
            <v>008308</v>
          </cell>
          <cell r="F849" t="str">
            <v>EL CHICO</v>
          </cell>
        </row>
        <row r="850">
          <cell r="B850" t="str">
            <v>008309</v>
          </cell>
          <cell r="C850">
            <v>2</v>
          </cell>
          <cell r="D850" t="str">
            <v>CHAPINERO</v>
          </cell>
          <cell r="E850" t="str">
            <v>008309</v>
          </cell>
          <cell r="F850" t="str">
            <v>LA CABRERA</v>
          </cell>
        </row>
        <row r="851">
          <cell r="B851" t="str">
            <v>008310</v>
          </cell>
          <cell r="C851">
            <v>2</v>
          </cell>
          <cell r="D851" t="str">
            <v>CHAPINERO</v>
          </cell>
          <cell r="E851" t="str">
            <v>008310</v>
          </cell>
          <cell r="F851" t="str">
            <v>EL RETIRO</v>
          </cell>
        </row>
        <row r="852">
          <cell r="B852" t="str">
            <v>008311</v>
          </cell>
          <cell r="C852">
            <v>2</v>
          </cell>
          <cell r="D852" t="str">
            <v>CHAPINERO</v>
          </cell>
          <cell r="E852" t="str">
            <v>008311</v>
          </cell>
          <cell r="F852" t="str">
            <v>EL NOGAL</v>
          </cell>
        </row>
        <row r="853">
          <cell r="B853" t="str">
            <v>008312</v>
          </cell>
          <cell r="C853">
            <v>2</v>
          </cell>
          <cell r="D853" t="str">
            <v>CHAPINERO</v>
          </cell>
          <cell r="E853" t="str">
            <v>008312</v>
          </cell>
          <cell r="F853" t="str">
            <v>ESPARTILLAL</v>
          </cell>
        </row>
        <row r="854">
          <cell r="B854" t="str">
            <v>008313</v>
          </cell>
          <cell r="C854">
            <v>2</v>
          </cell>
          <cell r="D854" t="str">
            <v>CHAPINERO</v>
          </cell>
          <cell r="E854" t="str">
            <v>008313</v>
          </cell>
          <cell r="F854" t="str">
            <v>LAGO GAITAN</v>
          </cell>
        </row>
        <row r="855">
          <cell r="B855" t="str">
            <v>008314</v>
          </cell>
          <cell r="C855">
            <v>2</v>
          </cell>
          <cell r="D855" t="str">
            <v>CHAPINERO</v>
          </cell>
          <cell r="E855" t="str">
            <v>008314</v>
          </cell>
          <cell r="F855" t="str">
            <v>ANTIGUO COUNTRY</v>
          </cell>
        </row>
        <row r="856">
          <cell r="B856" t="str">
            <v>008315</v>
          </cell>
          <cell r="C856">
            <v>2</v>
          </cell>
          <cell r="D856" t="str">
            <v>CHAPINERO</v>
          </cell>
          <cell r="E856" t="str">
            <v>008315</v>
          </cell>
          <cell r="F856" t="str">
            <v>CHICO NORTE III SECTOR</v>
          </cell>
        </row>
        <row r="857">
          <cell r="B857" t="str">
            <v>008319</v>
          </cell>
          <cell r="C857">
            <v>2</v>
          </cell>
          <cell r="D857" t="str">
            <v>CHAPINERO</v>
          </cell>
          <cell r="E857" t="str">
            <v>008319</v>
          </cell>
          <cell r="F857" t="str">
            <v>EL BAGAZAL</v>
          </cell>
        </row>
        <row r="858">
          <cell r="B858" t="str">
            <v>008401</v>
          </cell>
          <cell r="C858">
            <v>1</v>
          </cell>
          <cell r="D858" t="str">
            <v>USAQUEN</v>
          </cell>
          <cell r="E858" t="str">
            <v>008401</v>
          </cell>
          <cell r="F858" t="str">
            <v>LA CALLEJA</v>
          </cell>
        </row>
        <row r="859">
          <cell r="B859" t="str">
            <v>008402</v>
          </cell>
          <cell r="C859">
            <v>1</v>
          </cell>
          <cell r="D859" t="str">
            <v>USAQUEN</v>
          </cell>
          <cell r="E859" t="str">
            <v>008402</v>
          </cell>
          <cell r="F859" t="str">
            <v>COUNTRY CLUB</v>
          </cell>
        </row>
        <row r="860">
          <cell r="B860" t="str">
            <v>008403</v>
          </cell>
          <cell r="C860">
            <v>1</v>
          </cell>
          <cell r="D860" t="str">
            <v>USAQUEN</v>
          </cell>
          <cell r="E860" t="str">
            <v>008403</v>
          </cell>
          <cell r="F860" t="str">
            <v>LA CAROLINA</v>
          </cell>
        </row>
        <row r="861">
          <cell r="B861" t="str">
            <v>008404</v>
          </cell>
          <cell r="C861">
            <v>1</v>
          </cell>
          <cell r="D861" t="str">
            <v>USAQUEN</v>
          </cell>
          <cell r="E861" t="str">
            <v>008404</v>
          </cell>
          <cell r="F861" t="str">
            <v>BELLA SUIZA</v>
          </cell>
        </row>
        <row r="862">
          <cell r="B862" t="str">
            <v>008405</v>
          </cell>
          <cell r="C862">
            <v>1</v>
          </cell>
          <cell r="D862" t="str">
            <v>USAQUEN</v>
          </cell>
          <cell r="E862" t="str">
            <v>008405</v>
          </cell>
          <cell r="F862" t="str">
            <v>GINEBRA</v>
          </cell>
        </row>
        <row r="863">
          <cell r="B863" t="str">
            <v>008406</v>
          </cell>
          <cell r="C863">
            <v>1</v>
          </cell>
          <cell r="D863" t="str">
            <v>USAQUEN</v>
          </cell>
          <cell r="E863" t="str">
            <v>008406</v>
          </cell>
          <cell r="F863" t="str">
            <v>SAN GABRIEL NORTE</v>
          </cell>
        </row>
        <row r="864">
          <cell r="B864" t="str">
            <v>008407</v>
          </cell>
          <cell r="C864">
            <v>1</v>
          </cell>
          <cell r="D864" t="str">
            <v>USAQUEN</v>
          </cell>
          <cell r="E864" t="str">
            <v>008407</v>
          </cell>
          <cell r="F864" t="str">
            <v>USAQUEN</v>
          </cell>
        </row>
        <row r="865">
          <cell r="B865" t="str">
            <v>008408</v>
          </cell>
          <cell r="C865">
            <v>1</v>
          </cell>
          <cell r="D865" t="str">
            <v>USAQUEN</v>
          </cell>
          <cell r="E865" t="str">
            <v>008408</v>
          </cell>
          <cell r="F865" t="str">
            <v>SANTA ANA</v>
          </cell>
        </row>
        <row r="866">
          <cell r="B866" t="str">
            <v>008409</v>
          </cell>
          <cell r="C866">
            <v>1</v>
          </cell>
          <cell r="D866" t="str">
            <v>USAQUEN</v>
          </cell>
          <cell r="E866" t="str">
            <v>008409</v>
          </cell>
          <cell r="F866" t="str">
            <v>ESCUELA DE CABALLERIA I</v>
          </cell>
        </row>
        <row r="867">
          <cell r="B867" t="str">
            <v>008410</v>
          </cell>
          <cell r="C867">
            <v>1</v>
          </cell>
          <cell r="D867" t="str">
            <v>USAQUEN</v>
          </cell>
          <cell r="E867" t="str">
            <v>008410</v>
          </cell>
          <cell r="F867" t="str">
            <v>ESCUELA DE INFANTERIA</v>
          </cell>
        </row>
        <row r="868">
          <cell r="B868" t="str">
            <v>008411</v>
          </cell>
          <cell r="C868">
            <v>1</v>
          </cell>
          <cell r="D868" t="str">
            <v>USAQUEN</v>
          </cell>
          <cell r="E868" t="str">
            <v>008411</v>
          </cell>
          <cell r="F868" t="str">
            <v>RINCON DEL CHICO</v>
          </cell>
        </row>
        <row r="869">
          <cell r="B869" t="str">
            <v>008412</v>
          </cell>
          <cell r="C869">
            <v>1</v>
          </cell>
          <cell r="D869" t="str">
            <v>USAQUEN</v>
          </cell>
          <cell r="E869" t="str">
            <v>008412</v>
          </cell>
          <cell r="F869" t="str">
            <v>SANTA BIBIANA</v>
          </cell>
        </row>
        <row r="870">
          <cell r="B870" t="str">
            <v>008413</v>
          </cell>
          <cell r="C870">
            <v>1</v>
          </cell>
          <cell r="D870" t="str">
            <v>USAQUEN</v>
          </cell>
          <cell r="E870" t="str">
            <v>008413</v>
          </cell>
          <cell r="F870" t="str">
            <v>SANTA BARBARA ORIENTAL</v>
          </cell>
        </row>
        <row r="871">
          <cell r="B871" t="str">
            <v>008414</v>
          </cell>
          <cell r="C871">
            <v>1</v>
          </cell>
          <cell r="D871" t="str">
            <v>USAQUEN</v>
          </cell>
          <cell r="E871" t="str">
            <v>008414</v>
          </cell>
          <cell r="F871" t="str">
            <v>SANTA ANA OCCIDENTAL</v>
          </cell>
        </row>
        <row r="872">
          <cell r="B872" t="str">
            <v>008415</v>
          </cell>
          <cell r="C872">
            <v>1</v>
          </cell>
          <cell r="D872" t="str">
            <v>USAQUEN</v>
          </cell>
          <cell r="E872" t="str">
            <v>008415</v>
          </cell>
          <cell r="F872" t="str">
            <v>SANTA BARBARA CENTRAL</v>
          </cell>
        </row>
        <row r="873">
          <cell r="B873" t="str">
            <v>008416</v>
          </cell>
          <cell r="C873">
            <v>1</v>
          </cell>
          <cell r="D873" t="str">
            <v>USAQUEN</v>
          </cell>
          <cell r="E873" t="str">
            <v>008416</v>
          </cell>
          <cell r="F873" t="str">
            <v>MOLINOS NORTE</v>
          </cell>
        </row>
        <row r="874">
          <cell r="B874" t="str">
            <v>008417</v>
          </cell>
          <cell r="C874">
            <v>1</v>
          </cell>
          <cell r="D874" t="str">
            <v>USAQUEN</v>
          </cell>
          <cell r="E874" t="str">
            <v>008417</v>
          </cell>
          <cell r="F874" t="str">
            <v>SANTA BARBARA OCCIDENTAL</v>
          </cell>
        </row>
        <row r="875">
          <cell r="B875" t="str">
            <v>008418</v>
          </cell>
          <cell r="C875">
            <v>1</v>
          </cell>
          <cell r="D875" t="str">
            <v>USAQUEN</v>
          </cell>
          <cell r="E875" t="str">
            <v>008418</v>
          </cell>
          <cell r="F875" t="str">
            <v>SAN PATRICIO</v>
          </cell>
        </row>
        <row r="876">
          <cell r="B876" t="str">
            <v>008419</v>
          </cell>
          <cell r="C876">
            <v>1</v>
          </cell>
          <cell r="D876" t="str">
            <v>USAQUEN</v>
          </cell>
          <cell r="E876" t="str">
            <v>008419</v>
          </cell>
          <cell r="F876" t="str">
            <v>ESCUELA DE CABALLERIA II</v>
          </cell>
        </row>
        <row r="877">
          <cell r="B877" t="str">
            <v>008420</v>
          </cell>
          <cell r="C877">
            <v>1</v>
          </cell>
          <cell r="D877" t="str">
            <v>USAQUEN</v>
          </cell>
          <cell r="E877" t="str">
            <v>008420</v>
          </cell>
          <cell r="F877" t="str">
            <v>PARAMO URBANO I</v>
          </cell>
        </row>
        <row r="878">
          <cell r="B878" t="str">
            <v>008424</v>
          </cell>
          <cell r="C878">
            <v>1</v>
          </cell>
          <cell r="D878" t="str">
            <v>USAQUEN</v>
          </cell>
          <cell r="E878" t="str">
            <v>008424</v>
          </cell>
          <cell r="F878" t="str">
            <v>SEGUNDO CONTADOR</v>
          </cell>
        </row>
        <row r="879">
          <cell r="B879" t="str">
            <v>008425</v>
          </cell>
          <cell r="C879">
            <v>1</v>
          </cell>
          <cell r="D879" t="str">
            <v>USAQUEN</v>
          </cell>
          <cell r="E879" t="str">
            <v>008425</v>
          </cell>
          <cell r="F879" t="str">
            <v>GINEBRA II</v>
          </cell>
        </row>
        <row r="880">
          <cell r="B880" t="str">
            <v>008426</v>
          </cell>
          <cell r="C880">
            <v>1</v>
          </cell>
          <cell r="D880" t="str">
            <v>USAQUEN</v>
          </cell>
          <cell r="E880" t="str">
            <v>008426</v>
          </cell>
          <cell r="F880" t="str">
            <v>SAN GABRIEL NORTE II</v>
          </cell>
        </row>
        <row r="881">
          <cell r="B881" t="str">
            <v>008501</v>
          </cell>
          <cell r="C881">
            <v>1</v>
          </cell>
          <cell r="D881" t="str">
            <v>USAQUEN</v>
          </cell>
          <cell r="E881" t="str">
            <v>008501</v>
          </cell>
          <cell r="F881" t="str">
            <v>EL TOBERIN</v>
          </cell>
        </row>
        <row r="882">
          <cell r="B882" t="str">
            <v>008502</v>
          </cell>
          <cell r="C882">
            <v>1</v>
          </cell>
          <cell r="D882" t="str">
            <v>USAQUEN</v>
          </cell>
          <cell r="E882" t="str">
            <v>008502</v>
          </cell>
          <cell r="F882" t="str">
            <v>LA PRADERA NORTE</v>
          </cell>
        </row>
        <row r="883">
          <cell r="B883" t="str">
            <v>008503</v>
          </cell>
          <cell r="C883">
            <v>1</v>
          </cell>
          <cell r="D883" t="str">
            <v>USAQUEN</v>
          </cell>
          <cell r="E883" t="str">
            <v>008503</v>
          </cell>
          <cell r="F883" t="str">
            <v>SANTA TERESA</v>
          </cell>
        </row>
        <row r="884">
          <cell r="B884" t="str">
            <v>008504</v>
          </cell>
          <cell r="C884">
            <v>1</v>
          </cell>
          <cell r="D884" t="str">
            <v>USAQUEN</v>
          </cell>
          <cell r="E884" t="str">
            <v>008504</v>
          </cell>
          <cell r="F884" t="str">
            <v>LA CITA</v>
          </cell>
        </row>
        <row r="885">
          <cell r="B885" t="str">
            <v>008505</v>
          </cell>
          <cell r="C885">
            <v>1</v>
          </cell>
          <cell r="D885" t="str">
            <v>USAQUEN</v>
          </cell>
          <cell r="E885" t="str">
            <v>008505</v>
          </cell>
          <cell r="F885" t="str">
            <v>SAN CRISTOBAL NORTE</v>
          </cell>
        </row>
        <row r="886">
          <cell r="B886" t="str">
            <v>008506</v>
          </cell>
          <cell r="C886">
            <v>1</v>
          </cell>
          <cell r="D886" t="str">
            <v>USAQUEN</v>
          </cell>
          <cell r="E886" t="str">
            <v>008506</v>
          </cell>
          <cell r="F886" t="str">
            <v>BARRANCAS NORTE</v>
          </cell>
        </row>
        <row r="887">
          <cell r="B887" t="str">
            <v>008507</v>
          </cell>
          <cell r="C887">
            <v>1</v>
          </cell>
          <cell r="D887" t="str">
            <v>USAQUEN</v>
          </cell>
          <cell r="E887" t="str">
            <v>008507</v>
          </cell>
          <cell r="F887" t="str">
            <v>BARRANCAS</v>
          </cell>
        </row>
        <row r="888">
          <cell r="B888" t="str">
            <v>008508</v>
          </cell>
          <cell r="C888">
            <v>1</v>
          </cell>
          <cell r="D888" t="str">
            <v>USAQUEN</v>
          </cell>
          <cell r="E888" t="str">
            <v>008508</v>
          </cell>
          <cell r="F888" t="str">
            <v>CEDRO SALAZAR</v>
          </cell>
        </row>
        <row r="889">
          <cell r="B889" t="str">
            <v>008509</v>
          </cell>
          <cell r="C889">
            <v>1</v>
          </cell>
          <cell r="D889" t="str">
            <v>USAQUEN</v>
          </cell>
          <cell r="E889" t="str">
            <v>008509</v>
          </cell>
          <cell r="F889" t="str">
            <v>LOS CEDROS ORIENTAL</v>
          </cell>
        </row>
        <row r="890">
          <cell r="B890" t="str">
            <v>008510</v>
          </cell>
          <cell r="C890">
            <v>1</v>
          </cell>
          <cell r="D890" t="str">
            <v>USAQUEN</v>
          </cell>
          <cell r="E890" t="str">
            <v>008510</v>
          </cell>
          <cell r="F890" t="str">
            <v>ACACIAS USAQUEN</v>
          </cell>
        </row>
        <row r="891">
          <cell r="B891" t="str">
            <v>008511</v>
          </cell>
          <cell r="C891">
            <v>1</v>
          </cell>
          <cell r="D891" t="str">
            <v>USAQUEN</v>
          </cell>
          <cell r="E891" t="str">
            <v>008511</v>
          </cell>
          <cell r="F891" t="str">
            <v>CEDRO NARVAEZ</v>
          </cell>
        </row>
        <row r="892">
          <cell r="B892" t="str">
            <v>008512</v>
          </cell>
          <cell r="C892">
            <v>1</v>
          </cell>
          <cell r="D892" t="str">
            <v>USAQUEN</v>
          </cell>
          <cell r="E892" t="str">
            <v>008512</v>
          </cell>
          <cell r="F892" t="str">
            <v>CEDRITOS</v>
          </cell>
        </row>
        <row r="893">
          <cell r="B893" t="str">
            <v>008513</v>
          </cell>
          <cell r="C893">
            <v>1</v>
          </cell>
          <cell r="D893" t="str">
            <v>USAQUEN</v>
          </cell>
          <cell r="E893" t="str">
            <v>008513</v>
          </cell>
          <cell r="F893" t="str">
            <v>LISBOA</v>
          </cell>
        </row>
        <row r="894">
          <cell r="B894" t="str">
            <v>008514</v>
          </cell>
          <cell r="C894">
            <v>1</v>
          </cell>
          <cell r="D894" t="str">
            <v>USAQUEN</v>
          </cell>
          <cell r="E894" t="str">
            <v>008514</v>
          </cell>
          <cell r="F894" t="str">
            <v>EL CONTADOR</v>
          </cell>
        </row>
        <row r="895">
          <cell r="B895" t="str">
            <v>008515</v>
          </cell>
          <cell r="C895">
            <v>1</v>
          </cell>
          <cell r="D895" t="str">
            <v>USAQUEN</v>
          </cell>
          <cell r="E895" t="str">
            <v>008515</v>
          </cell>
          <cell r="F895" t="str">
            <v>LOS CEDROS</v>
          </cell>
        </row>
        <row r="896">
          <cell r="B896" t="str">
            <v>008516</v>
          </cell>
          <cell r="C896">
            <v>1</v>
          </cell>
          <cell r="D896" t="str">
            <v>USAQUEN</v>
          </cell>
          <cell r="E896" t="str">
            <v>008516</v>
          </cell>
          <cell r="F896" t="str">
            <v>LAS ORQUIDEAS</v>
          </cell>
        </row>
        <row r="897">
          <cell r="B897" t="str">
            <v>008517</v>
          </cell>
          <cell r="C897">
            <v>1</v>
          </cell>
          <cell r="D897" t="str">
            <v>USAQUEN</v>
          </cell>
          <cell r="E897" t="str">
            <v>008517</v>
          </cell>
          <cell r="F897" t="str">
            <v>LA LIBERIA</v>
          </cell>
        </row>
        <row r="898">
          <cell r="B898" t="str">
            <v>008518</v>
          </cell>
          <cell r="C898">
            <v>1</v>
          </cell>
          <cell r="D898" t="str">
            <v>USAQUEN</v>
          </cell>
          <cell r="E898" t="str">
            <v>008518</v>
          </cell>
          <cell r="F898" t="str">
            <v>CAOBOS SALAZAR</v>
          </cell>
        </row>
        <row r="899">
          <cell r="B899" t="str">
            <v>008519</v>
          </cell>
          <cell r="C899">
            <v>1</v>
          </cell>
          <cell r="D899" t="str">
            <v>USAQUEN</v>
          </cell>
          <cell r="E899" t="str">
            <v>008519</v>
          </cell>
          <cell r="F899" t="str">
            <v>ESTRELLA DEL NORTE</v>
          </cell>
        </row>
        <row r="900">
          <cell r="B900" t="str">
            <v>008520</v>
          </cell>
          <cell r="C900">
            <v>1</v>
          </cell>
          <cell r="D900" t="str">
            <v>USAQUEN</v>
          </cell>
          <cell r="E900" t="str">
            <v>008520</v>
          </cell>
          <cell r="F900" t="str">
            <v>BOSQUE DE PINOS</v>
          </cell>
        </row>
        <row r="901">
          <cell r="B901" t="str">
            <v>008521</v>
          </cell>
          <cell r="C901">
            <v>1</v>
          </cell>
          <cell r="D901" t="str">
            <v>USAQUEN</v>
          </cell>
          <cell r="E901" t="str">
            <v>008521</v>
          </cell>
          <cell r="F901" t="str">
            <v>TIBABITA</v>
          </cell>
        </row>
        <row r="902">
          <cell r="B902" t="str">
            <v>008522</v>
          </cell>
          <cell r="C902">
            <v>1</v>
          </cell>
          <cell r="D902" t="str">
            <v>USAQUEN</v>
          </cell>
          <cell r="E902" t="str">
            <v>008522</v>
          </cell>
          <cell r="F902" t="str">
            <v>EL ROCIO NORTE</v>
          </cell>
        </row>
        <row r="903">
          <cell r="B903" t="str">
            <v>008523</v>
          </cell>
          <cell r="C903">
            <v>1</v>
          </cell>
          <cell r="D903" t="str">
            <v>USAQUEN</v>
          </cell>
          <cell r="E903" t="str">
            <v>008523</v>
          </cell>
          <cell r="F903" t="str">
            <v>SAN ANTONIO NORTE</v>
          </cell>
        </row>
        <row r="904">
          <cell r="B904" t="str">
            <v>008524</v>
          </cell>
          <cell r="C904">
            <v>1</v>
          </cell>
          <cell r="D904" t="str">
            <v>USAQUEN</v>
          </cell>
          <cell r="E904" t="str">
            <v>008524</v>
          </cell>
          <cell r="F904" t="str">
            <v>LA GRANJA NORTE</v>
          </cell>
        </row>
        <row r="905">
          <cell r="B905" t="str">
            <v>008525</v>
          </cell>
          <cell r="C905">
            <v>1</v>
          </cell>
          <cell r="D905" t="str">
            <v>USAQUEN</v>
          </cell>
          <cell r="E905" t="str">
            <v>008525</v>
          </cell>
          <cell r="F905" t="str">
            <v>LA URIBE</v>
          </cell>
        </row>
        <row r="906">
          <cell r="B906" t="str">
            <v>008526</v>
          </cell>
          <cell r="C906">
            <v>1</v>
          </cell>
          <cell r="D906" t="str">
            <v>USAQUEN</v>
          </cell>
          <cell r="E906" t="str">
            <v>008526</v>
          </cell>
          <cell r="F906" t="str">
            <v>EL VERVENAL</v>
          </cell>
        </row>
        <row r="907">
          <cell r="B907" t="str">
            <v>008527</v>
          </cell>
          <cell r="C907">
            <v>1</v>
          </cell>
          <cell r="D907" t="str">
            <v>USAQUEN</v>
          </cell>
          <cell r="E907" t="str">
            <v>008527</v>
          </cell>
          <cell r="F907" t="str">
            <v>EL CEREZO</v>
          </cell>
        </row>
        <row r="908">
          <cell r="B908" t="str">
            <v>008528</v>
          </cell>
          <cell r="C908">
            <v>1</v>
          </cell>
          <cell r="D908" t="str">
            <v>USAQUEN</v>
          </cell>
          <cell r="E908" t="str">
            <v>008528</v>
          </cell>
          <cell r="F908" t="str">
            <v>SAN ANTONIO NOROCCIDENTAL</v>
          </cell>
        </row>
        <row r="909">
          <cell r="B909" t="str">
            <v>008529</v>
          </cell>
          <cell r="C909">
            <v>1</v>
          </cell>
          <cell r="D909" t="str">
            <v>USAQUEN</v>
          </cell>
          <cell r="E909" t="str">
            <v>008529</v>
          </cell>
          <cell r="F909" t="str">
            <v>SAN JOSE DE USAQUEN</v>
          </cell>
        </row>
        <row r="910">
          <cell r="B910" t="str">
            <v>008530</v>
          </cell>
          <cell r="C910">
            <v>1</v>
          </cell>
          <cell r="D910" t="str">
            <v>USAQUEN</v>
          </cell>
          <cell r="E910" t="str">
            <v>008530</v>
          </cell>
          <cell r="F910" t="str">
            <v>LAS MARGARITAS</v>
          </cell>
        </row>
        <row r="911">
          <cell r="B911" t="str">
            <v>008532</v>
          </cell>
          <cell r="C911">
            <v>1</v>
          </cell>
          <cell r="D911" t="str">
            <v>USAQUEN</v>
          </cell>
          <cell r="E911" t="str">
            <v>008532</v>
          </cell>
          <cell r="F911" t="str">
            <v>EL REDIL</v>
          </cell>
        </row>
        <row r="912">
          <cell r="B912" t="str">
            <v>008533</v>
          </cell>
          <cell r="C912">
            <v>1</v>
          </cell>
          <cell r="D912" t="str">
            <v>USAQUEN</v>
          </cell>
          <cell r="E912" t="str">
            <v>008533</v>
          </cell>
          <cell r="F912" t="str">
            <v>HORIZONTES NORTE</v>
          </cell>
        </row>
        <row r="913">
          <cell r="B913" t="str">
            <v>008535</v>
          </cell>
          <cell r="C913">
            <v>1</v>
          </cell>
          <cell r="D913" t="str">
            <v>USAQUEN</v>
          </cell>
          <cell r="E913" t="str">
            <v>008535</v>
          </cell>
          <cell r="F913" t="str">
            <v>BUENAVISTA</v>
          </cell>
        </row>
        <row r="914">
          <cell r="B914" t="str">
            <v>008536</v>
          </cell>
          <cell r="C914">
            <v>1</v>
          </cell>
          <cell r="D914" t="str">
            <v>USAQUEN</v>
          </cell>
          <cell r="E914" t="str">
            <v>008536</v>
          </cell>
          <cell r="F914" t="str">
            <v>BOSQUE DE PINOS I</v>
          </cell>
        </row>
        <row r="915">
          <cell r="B915" t="str">
            <v>008537</v>
          </cell>
          <cell r="C915">
            <v>1</v>
          </cell>
          <cell r="D915" t="str">
            <v>USAQUEN</v>
          </cell>
          <cell r="E915" t="str">
            <v>008537</v>
          </cell>
          <cell r="F915" t="str">
            <v>VERBENAL SAN ANTONIO</v>
          </cell>
        </row>
        <row r="916">
          <cell r="B916" t="str">
            <v>008538</v>
          </cell>
          <cell r="C916">
            <v>1</v>
          </cell>
          <cell r="D916" t="str">
            <v>USAQUEN</v>
          </cell>
          <cell r="E916" t="str">
            <v>008538</v>
          </cell>
          <cell r="F916" t="str">
            <v>BOSQUE DE PINOS III</v>
          </cell>
        </row>
        <row r="917">
          <cell r="B917" t="str">
            <v>008539</v>
          </cell>
          <cell r="C917">
            <v>1</v>
          </cell>
          <cell r="D917" t="str">
            <v>USAQUEN</v>
          </cell>
          <cell r="E917" t="str">
            <v>008539</v>
          </cell>
          <cell r="F917" t="str">
            <v>TORCA I</v>
          </cell>
        </row>
        <row r="918">
          <cell r="B918" t="str">
            <v>008540</v>
          </cell>
          <cell r="C918">
            <v>1</v>
          </cell>
          <cell r="D918" t="str">
            <v>USAQUEN</v>
          </cell>
          <cell r="E918" t="str">
            <v>008540</v>
          </cell>
          <cell r="F918" t="str">
            <v>LA ESTRELLITA I</v>
          </cell>
        </row>
        <row r="919">
          <cell r="B919" t="str">
            <v>008542</v>
          </cell>
          <cell r="C919">
            <v>1</v>
          </cell>
          <cell r="D919" t="str">
            <v>USAQUEN</v>
          </cell>
          <cell r="E919" t="str">
            <v>008542</v>
          </cell>
          <cell r="F919" t="str">
            <v>TIBABITA</v>
          </cell>
        </row>
        <row r="920">
          <cell r="B920" t="str">
            <v>008543</v>
          </cell>
          <cell r="C920">
            <v>1</v>
          </cell>
          <cell r="D920" t="str">
            <v>USAQUEN</v>
          </cell>
          <cell r="E920" t="str">
            <v>008543</v>
          </cell>
          <cell r="F920" t="str">
            <v>SANTA CECILIA PUENTE NORTE</v>
          </cell>
        </row>
        <row r="921">
          <cell r="B921" t="str">
            <v>008544</v>
          </cell>
          <cell r="C921">
            <v>1</v>
          </cell>
          <cell r="D921" t="str">
            <v>USAQUEN</v>
          </cell>
          <cell r="E921" t="str">
            <v>008544</v>
          </cell>
          <cell r="F921" t="str">
            <v>CANAIMA</v>
          </cell>
        </row>
        <row r="922">
          <cell r="B922" t="str">
            <v>008545</v>
          </cell>
          <cell r="C922">
            <v>1</v>
          </cell>
          <cell r="D922" t="str">
            <v>USAQUEN</v>
          </cell>
          <cell r="E922" t="str">
            <v>008545</v>
          </cell>
          <cell r="F922" t="str">
            <v>MIRADOR DEL NORTE</v>
          </cell>
        </row>
        <row r="923">
          <cell r="B923" t="str">
            <v>008547</v>
          </cell>
          <cell r="C923">
            <v>1</v>
          </cell>
          <cell r="D923" t="str">
            <v>USAQUEN</v>
          </cell>
          <cell r="E923" t="str">
            <v>008547</v>
          </cell>
          <cell r="F923" t="str">
            <v>LA ESTRELLITA III</v>
          </cell>
        </row>
        <row r="924">
          <cell r="B924" t="str">
            <v>009101</v>
          </cell>
          <cell r="C924">
            <v>11</v>
          </cell>
          <cell r="D924" t="str">
            <v>SUBA</v>
          </cell>
          <cell r="E924" t="str">
            <v>009101</v>
          </cell>
          <cell r="F924" t="str">
            <v>GRANADA NORTE</v>
          </cell>
        </row>
        <row r="925">
          <cell r="B925" t="str">
            <v>009102</v>
          </cell>
          <cell r="C925">
            <v>11</v>
          </cell>
          <cell r="D925" t="str">
            <v>SUBA</v>
          </cell>
          <cell r="E925" t="str">
            <v>009102</v>
          </cell>
          <cell r="F925" t="str">
            <v>BRITALIA</v>
          </cell>
        </row>
        <row r="926">
          <cell r="B926" t="str">
            <v>009103</v>
          </cell>
          <cell r="C926">
            <v>11</v>
          </cell>
          <cell r="D926" t="str">
            <v>SUBA</v>
          </cell>
          <cell r="E926" t="str">
            <v>009103</v>
          </cell>
          <cell r="F926" t="str">
            <v>CANTAGALLO</v>
          </cell>
        </row>
        <row r="927">
          <cell r="B927" t="str">
            <v>009104</v>
          </cell>
          <cell r="C927">
            <v>11</v>
          </cell>
          <cell r="D927" t="str">
            <v>SUBA</v>
          </cell>
          <cell r="E927" t="str">
            <v>009104</v>
          </cell>
          <cell r="F927" t="str">
            <v>VICTORIA NORTE</v>
          </cell>
        </row>
        <row r="928">
          <cell r="B928" t="str">
            <v>009105</v>
          </cell>
          <cell r="C928">
            <v>11</v>
          </cell>
          <cell r="D928" t="str">
            <v>SUBA</v>
          </cell>
          <cell r="E928" t="str">
            <v>009105</v>
          </cell>
          <cell r="F928" t="str">
            <v>PRADO PINZON</v>
          </cell>
        </row>
        <row r="929">
          <cell r="B929" t="str">
            <v>009106</v>
          </cell>
          <cell r="C929">
            <v>11</v>
          </cell>
          <cell r="D929" t="str">
            <v>SUBA</v>
          </cell>
          <cell r="E929" t="str">
            <v>009106</v>
          </cell>
          <cell r="F929" t="str">
            <v>SAN JOSE DEL PRADO</v>
          </cell>
        </row>
        <row r="930">
          <cell r="B930" t="str">
            <v>009107</v>
          </cell>
          <cell r="C930">
            <v>11</v>
          </cell>
          <cell r="D930" t="str">
            <v>SUBA</v>
          </cell>
          <cell r="E930" t="str">
            <v>009107</v>
          </cell>
          <cell r="F930" t="str">
            <v>PRADO VERANIEGO</v>
          </cell>
        </row>
        <row r="931">
          <cell r="B931" t="str">
            <v>009108</v>
          </cell>
          <cell r="C931">
            <v>11</v>
          </cell>
          <cell r="D931" t="str">
            <v>SUBA</v>
          </cell>
          <cell r="E931" t="str">
            <v>009108</v>
          </cell>
          <cell r="F931" t="str">
            <v>CIUDAD JARDIN NORTE</v>
          </cell>
        </row>
        <row r="932">
          <cell r="B932" t="str">
            <v>009109</v>
          </cell>
          <cell r="C932">
            <v>11</v>
          </cell>
          <cell r="D932" t="str">
            <v>SUBA</v>
          </cell>
          <cell r="E932" t="str">
            <v>009109</v>
          </cell>
          <cell r="F932" t="str">
            <v>NIZA SUR</v>
          </cell>
        </row>
        <row r="933">
          <cell r="B933" t="str">
            <v>009110</v>
          </cell>
          <cell r="C933">
            <v>11</v>
          </cell>
          <cell r="D933" t="str">
            <v>SUBA</v>
          </cell>
          <cell r="E933" t="str">
            <v>009110</v>
          </cell>
          <cell r="F933" t="str">
            <v>MAZUREN</v>
          </cell>
        </row>
        <row r="934">
          <cell r="B934" t="str">
            <v>009111</v>
          </cell>
          <cell r="C934">
            <v>11</v>
          </cell>
          <cell r="D934" t="str">
            <v>SUBA</v>
          </cell>
          <cell r="E934" t="str">
            <v>009111</v>
          </cell>
          <cell r="F934" t="str">
            <v>MONACO</v>
          </cell>
        </row>
        <row r="935">
          <cell r="B935" t="str">
            <v>009112</v>
          </cell>
          <cell r="C935">
            <v>11</v>
          </cell>
          <cell r="D935" t="str">
            <v>SUBA</v>
          </cell>
          <cell r="E935" t="str">
            <v>009112</v>
          </cell>
          <cell r="F935" t="str">
            <v>NIZA SUBA</v>
          </cell>
        </row>
        <row r="936">
          <cell r="B936" t="str">
            <v>009113</v>
          </cell>
          <cell r="C936">
            <v>11</v>
          </cell>
          <cell r="D936" t="str">
            <v>SUBA</v>
          </cell>
          <cell r="E936" t="str">
            <v>009113</v>
          </cell>
          <cell r="F936" t="str">
            <v>SAN JOSE DE BAVARIA</v>
          </cell>
        </row>
        <row r="937">
          <cell r="B937" t="str">
            <v>009114</v>
          </cell>
          <cell r="C937">
            <v>11</v>
          </cell>
          <cell r="D937" t="str">
            <v>SUBA</v>
          </cell>
          <cell r="E937" t="str">
            <v>009114</v>
          </cell>
          <cell r="F937" t="str">
            <v>GILMAR</v>
          </cell>
        </row>
        <row r="938">
          <cell r="B938" t="str">
            <v>009115</v>
          </cell>
          <cell r="C938">
            <v>11</v>
          </cell>
          <cell r="D938" t="str">
            <v>SUBA</v>
          </cell>
          <cell r="E938" t="str">
            <v>009115</v>
          </cell>
          <cell r="F938" t="str">
            <v>IBERIA</v>
          </cell>
        </row>
        <row r="939">
          <cell r="B939" t="str">
            <v>009116</v>
          </cell>
          <cell r="C939">
            <v>11</v>
          </cell>
          <cell r="D939" t="str">
            <v>SUBA</v>
          </cell>
          <cell r="E939" t="str">
            <v>009116</v>
          </cell>
          <cell r="F939" t="str">
            <v>PRADO VERANIEGO NORTE</v>
          </cell>
        </row>
        <row r="940">
          <cell r="B940" t="str">
            <v>009117</v>
          </cell>
          <cell r="C940">
            <v>11</v>
          </cell>
          <cell r="D940" t="str">
            <v>SUBA</v>
          </cell>
          <cell r="E940" t="str">
            <v>009117</v>
          </cell>
          <cell r="F940" t="str">
            <v>PRADO VERANIEGO SUR</v>
          </cell>
        </row>
        <row r="941">
          <cell r="B941" t="str">
            <v>009118</v>
          </cell>
          <cell r="C941">
            <v>11</v>
          </cell>
          <cell r="D941" t="str">
            <v>SUBA</v>
          </cell>
          <cell r="E941" t="str">
            <v>009118</v>
          </cell>
          <cell r="F941" t="str">
            <v>BATAN</v>
          </cell>
        </row>
        <row r="942">
          <cell r="B942" t="str">
            <v>009119</v>
          </cell>
          <cell r="C942">
            <v>11</v>
          </cell>
          <cell r="D942" t="str">
            <v>SUBA</v>
          </cell>
          <cell r="E942" t="str">
            <v>009119</v>
          </cell>
          <cell r="F942" t="str">
            <v>ATENAS</v>
          </cell>
        </row>
        <row r="943">
          <cell r="B943" t="str">
            <v>009120</v>
          </cell>
          <cell r="C943">
            <v>11</v>
          </cell>
          <cell r="D943" t="str">
            <v>SUBA</v>
          </cell>
          <cell r="E943" t="str">
            <v>009120</v>
          </cell>
          <cell r="F943" t="str">
            <v>NUEVA ZELANDIA</v>
          </cell>
        </row>
        <row r="944">
          <cell r="B944" t="str">
            <v>009121</v>
          </cell>
          <cell r="C944">
            <v>11</v>
          </cell>
          <cell r="D944" t="str">
            <v>SUBA</v>
          </cell>
          <cell r="E944" t="str">
            <v>009121</v>
          </cell>
          <cell r="F944" t="str">
            <v>CLUB DE LOS LAGARTOS</v>
          </cell>
        </row>
        <row r="945">
          <cell r="B945" t="str">
            <v>009122</v>
          </cell>
          <cell r="C945">
            <v>11</v>
          </cell>
          <cell r="D945" t="str">
            <v>SUBA</v>
          </cell>
          <cell r="E945" t="str">
            <v>009122</v>
          </cell>
          <cell r="F945" t="str">
            <v>LAS VILLAS</v>
          </cell>
        </row>
        <row r="946">
          <cell r="B946" t="str">
            <v>009123</v>
          </cell>
          <cell r="C946">
            <v>11</v>
          </cell>
          <cell r="D946" t="str">
            <v>SUBA</v>
          </cell>
          <cell r="E946" t="str">
            <v>009123</v>
          </cell>
          <cell r="F946" t="str">
            <v>NIZA NORTE</v>
          </cell>
        </row>
        <row r="947">
          <cell r="B947" t="str">
            <v>009124</v>
          </cell>
          <cell r="C947">
            <v>11</v>
          </cell>
          <cell r="D947" t="str">
            <v>SUBA</v>
          </cell>
          <cell r="E947" t="str">
            <v>009124</v>
          </cell>
          <cell r="F947" t="str">
            <v>PUENTE LARGO</v>
          </cell>
        </row>
        <row r="948">
          <cell r="B948" t="str">
            <v>009125</v>
          </cell>
          <cell r="C948">
            <v>11</v>
          </cell>
          <cell r="D948" t="str">
            <v>SUBA</v>
          </cell>
          <cell r="E948" t="str">
            <v>009125</v>
          </cell>
          <cell r="F948" t="str">
            <v>PASADENA</v>
          </cell>
        </row>
        <row r="949">
          <cell r="B949" t="str">
            <v>009126</v>
          </cell>
          <cell r="C949">
            <v>11</v>
          </cell>
          <cell r="D949" t="str">
            <v>SUBA</v>
          </cell>
          <cell r="E949" t="str">
            <v>009126</v>
          </cell>
          <cell r="F949" t="str">
            <v>ESTORIL</v>
          </cell>
        </row>
        <row r="950">
          <cell r="B950" t="str">
            <v>009127</v>
          </cell>
          <cell r="C950">
            <v>11</v>
          </cell>
          <cell r="D950" t="str">
            <v>SUBA</v>
          </cell>
          <cell r="E950" t="str">
            <v>009127</v>
          </cell>
          <cell r="F950" t="str">
            <v>ANDES NORTE</v>
          </cell>
        </row>
        <row r="951">
          <cell r="B951" t="str">
            <v>009128</v>
          </cell>
          <cell r="C951">
            <v>11</v>
          </cell>
          <cell r="D951" t="str">
            <v>SUBA</v>
          </cell>
          <cell r="E951" t="str">
            <v>009128</v>
          </cell>
          <cell r="F951" t="str">
            <v>EL PLAN</v>
          </cell>
        </row>
        <row r="952">
          <cell r="B952" t="str">
            <v>009129</v>
          </cell>
          <cell r="C952">
            <v>11</v>
          </cell>
          <cell r="D952" t="str">
            <v>SUBA</v>
          </cell>
          <cell r="E952" t="str">
            <v>009129</v>
          </cell>
          <cell r="F952" t="str">
            <v>VILLA DEL PRADO</v>
          </cell>
        </row>
        <row r="953">
          <cell r="B953" t="str">
            <v>009130</v>
          </cell>
          <cell r="C953">
            <v>11</v>
          </cell>
          <cell r="D953" t="str">
            <v>SUBA</v>
          </cell>
          <cell r="E953" t="str">
            <v>009130</v>
          </cell>
          <cell r="F953" t="str">
            <v>CANODROMO</v>
          </cell>
        </row>
        <row r="954">
          <cell r="B954" t="str">
            <v>009131</v>
          </cell>
          <cell r="C954">
            <v>11</v>
          </cell>
          <cell r="D954" t="str">
            <v>SUBA</v>
          </cell>
          <cell r="E954" t="str">
            <v>009131</v>
          </cell>
          <cell r="F954" t="str">
            <v>SANTA HELENA</v>
          </cell>
        </row>
        <row r="955">
          <cell r="B955" t="str">
            <v>009132</v>
          </cell>
          <cell r="C955">
            <v>11</v>
          </cell>
          <cell r="D955" t="str">
            <v>SUBA</v>
          </cell>
          <cell r="E955" t="str">
            <v>009132</v>
          </cell>
          <cell r="F955" t="str">
            <v>ESCUELA DE CARABINEROS</v>
          </cell>
        </row>
        <row r="956">
          <cell r="B956" t="str">
            <v>009133</v>
          </cell>
          <cell r="C956">
            <v>11</v>
          </cell>
          <cell r="D956" t="str">
            <v>SUBA</v>
          </cell>
          <cell r="E956" t="str">
            <v>009133</v>
          </cell>
          <cell r="F956" t="str">
            <v>MIRANDELA</v>
          </cell>
        </row>
        <row r="957">
          <cell r="B957" t="str">
            <v>009134</v>
          </cell>
          <cell r="C957">
            <v>11</v>
          </cell>
          <cell r="D957" t="str">
            <v>SUBA</v>
          </cell>
          <cell r="E957" t="str">
            <v>009134</v>
          </cell>
          <cell r="F957" t="str">
            <v>SAN JOSE V SECTOR</v>
          </cell>
        </row>
        <row r="958">
          <cell r="B958" t="str">
            <v>009135</v>
          </cell>
          <cell r="C958">
            <v>11</v>
          </cell>
          <cell r="D958" t="str">
            <v>SUBA</v>
          </cell>
          <cell r="E958" t="str">
            <v>009135</v>
          </cell>
          <cell r="F958" t="str">
            <v>PORTALES DEL NORTE</v>
          </cell>
        </row>
        <row r="959">
          <cell r="B959" t="str">
            <v>009136</v>
          </cell>
          <cell r="C959">
            <v>11</v>
          </cell>
          <cell r="D959" t="str">
            <v>SUBA</v>
          </cell>
          <cell r="E959" t="str">
            <v>009136</v>
          </cell>
          <cell r="F959" t="str">
            <v>CASABLANCA SUBA URBANO</v>
          </cell>
        </row>
        <row r="960">
          <cell r="B960" t="str">
            <v>009138</v>
          </cell>
          <cell r="C960">
            <v>11</v>
          </cell>
          <cell r="D960" t="str">
            <v>SUBA</v>
          </cell>
          <cell r="E960" t="str">
            <v>009138</v>
          </cell>
          <cell r="F960" t="str">
            <v>CASABLANCA SUBA URBANO I</v>
          </cell>
        </row>
        <row r="961">
          <cell r="B961" t="str">
            <v>009139</v>
          </cell>
          <cell r="C961">
            <v>11</v>
          </cell>
          <cell r="D961" t="str">
            <v>SUBA</v>
          </cell>
          <cell r="E961" t="str">
            <v>009139</v>
          </cell>
          <cell r="F961" t="str">
            <v>CASABLANCA SUBA URBANO II</v>
          </cell>
        </row>
        <row r="962">
          <cell r="B962" t="str">
            <v>009140</v>
          </cell>
          <cell r="C962">
            <v>11</v>
          </cell>
          <cell r="D962" t="str">
            <v>SUBA</v>
          </cell>
          <cell r="E962" t="str">
            <v>009140</v>
          </cell>
          <cell r="F962" t="str">
            <v>NUESTRA SENORA DEL ROSARIO</v>
          </cell>
        </row>
        <row r="963">
          <cell r="B963" t="str">
            <v>009141</v>
          </cell>
          <cell r="C963">
            <v>11</v>
          </cell>
          <cell r="D963" t="str">
            <v>SUBA</v>
          </cell>
          <cell r="E963" t="str">
            <v>009141</v>
          </cell>
          <cell r="F963" t="str">
            <v>LA CANDELARIA</v>
          </cell>
        </row>
        <row r="964">
          <cell r="B964" t="str">
            <v>009142</v>
          </cell>
          <cell r="C964">
            <v>11</v>
          </cell>
          <cell r="D964" t="str">
            <v>SUBA</v>
          </cell>
          <cell r="E964" t="str">
            <v>009142</v>
          </cell>
          <cell r="F964" t="str">
            <v>CONEJERA</v>
          </cell>
        </row>
        <row r="965">
          <cell r="B965" t="str">
            <v>009201</v>
          </cell>
          <cell r="C965">
            <v>11</v>
          </cell>
          <cell r="D965" t="str">
            <v>SUBA</v>
          </cell>
          <cell r="E965" t="str">
            <v>009201</v>
          </cell>
          <cell r="F965" t="str">
            <v>LOS NARANJOS</v>
          </cell>
        </row>
        <row r="966">
          <cell r="B966" t="str">
            <v>009202</v>
          </cell>
          <cell r="C966">
            <v>11</v>
          </cell>
          <cell r="D966" t="str">
            <v>SUBA</v>
          </cell>
          <cell r="E966" t="str">
            <v>009202</v>
          </cell>
          <cell r="F966" t="str">
            <v>EL RINCON</v>
          </cell>
        </row>
        <row r="967">
          <cell r="B967" t="str">
            <v>009203</v>
          </cell>
          <cell r="C967">
            <v>11</v>
          </cell>
          <cell r="D967" t="str">
            <v>SUBA</v>
          </cell>
          <cell r="E967" t="str">
            <v>009203</v>
          </cell>
          <cell r="F967" t="str">
            <v>PUERTA DEL SOL</v>
          </cell>
        </row>
        <row r="968">
          <cell r="B968" t="str">
            <v>009204</v>
          </cell>
          <cell r="C968">
            <v>11</v>
          </cell>
          <cell r="D968" t="str">
            <v>SUBA</v>
          </cell>
          <cell r="E968" t="str">
            <v>009204</v>
          </cell>
          <cell r="F968" t="str">
            <v>EL RINCON NORTE</v>
          </cell>
        </row>
        <row r="969">
          <cell r="B969" t="str">
            <v>009205</v>
          </cell>
          <cell r="C969">
            <v>11</v>
          </cell>
          <cell r="D969" t="str">
            <v>SUBA</v>
          </cell>
          <cell r="E969" t="str">
            <v>009205</v>
          </cell>
          <cell r="F969" t="str">
            <v>AURES</v>
          </cell>
        </row>
        <row r="970">
          <cell r="B970" t="str">
            <v>009206</v>
          </cell>
          <cell r="C970">
            <v>11</v>
          </cell>
          <cell r="D970" t="str">
            <v>SUBA</v>
          </cell>
          <cell r="E970" t="str">
            <v>009206</v>
          </cell>
          <cell r="F970" t="str">
            <v>AURES II</v>
          </cell>
        </row>
        <row r="971">
          <cell r="B971" t="str">
            <v>009207</v>
          </cell>
          <cell r="C971">
            <v>11</v>
          </cell>
          <cell r="D971" t="str">
            <v>SUBA</v>
          </cell>
          <cell r="E971" t="str">
            <v>009207</v>
          </cell>
          <cell r="F971" t="str">
            <v>VILLA ELISA</v>
          </cell>
        </row>
        <row r="972">
          <cell r="B972" t="str">
            <v>009208</v>
          </cell>
          <cell r="C972">
            <v>11</v>
          </cell>
          <cell r="D972" t="str">
            <v>SUBA</v>
          </cell>
          <cell r="E972" t="str">
            <v>009208</v>
          </cell>
          <cell r="F972" t="str">
            <v>COSTA AZUL</v>
          </cell>
        </row>
        <row r="973">
          <cell r="B973" t="str">
            <v>009209</v>
          </cell>
          <cell r="C973">
            <v>11</v>
          </cell>
          <cell r="D973" t="str">
            <v>SUBA</v>
          </cell>
          <cell r="E973" t="str">
            <v>009209</v>
          </cell>
          <cell r="F973" t="str">
            <v>VILLA MARIA</v>
          </cell>
        </row>
        <row r="974">
          <cell r="B974" t="str">
            <v>009210</v>
          </cell>
          <cell r="C974">
            <v>11</v>
          </cell>
          <cell r="D974" t="str">
            <v>SUBA</v>
          </cell>
          <cell r="E974" t="str">
            <v>009210</v>
          </cell>
          <cell r="F974" t="str">
            <v>LAS FLORES</v>
          </cell>
        </row>
        <row r="975">
          <cell r="B975" t="str">
            <v>009211</v>
          </cell>
          <cell r="C975">
            <v>11</v>
          </cell>
          <cell r="D975" t="str">
            <v>SUBA</v>
          </cell>
          <cell r="E975" t="str">
            <v>009211</v>
          </cell>
          <cell r="F975" t="str">
            <v>EL POA</v>
          </cell>
        </row>
        <row r="976">
          <cell r="B976" t="str">
            <v>009212</v>
          </cell>
          <cell r="C976">
            <v>11</v>
          </cell>
          <cell r="D976" t="str">
            <v>SUBA</v>
          </cell>
          <cell r="E976" t="str">
            <v>009212</v>
          </cell>
          <cell r="F976" t="str">
            <v>SUBA URBANO</v>
          </cell>
        </row>
        <row r="977">
          <cell r="B977" t="str">
            <v>009213</v>
          </cell>
          <cell r="C977">
            <v>11</v>
          </cell>
          <cell r="D977" t="str">
            <v>SUBA</v>
          </cell>
          <cell r="E977" t="str">
            <v>009213</v>
          </cell>
          <cell r="F977" t="str">
            <v>EL PINO</v>
          </cell>
        </row>
        <row r="978">
          <cell r="B978" t="str">
            <v>009214</v>
          </cell>
          <cell r="C978">
            <v>11</v>
          </cell>
          <cell r="D978" t="str">
            <v>SUBA</v>
          </cell>
          <cell r="E978" t="str">
            <v>009214</v>
          </cell>
          <cell r="F978" t="str">
            <v>TUNA ALTA</v>
          </cell>
        </row>
        <row r="979">
          <cell r="B979" t="str">
            <v>009215</v>
          </cell>
          <cell r="C979">
            <v>11</v>
          </cell>
          <cell r="D979" t="str">
            <v>SUBA</v>
          </cell>
          <cell r="E979" t="str">
            <v>009215</v>
          </cell>
          <cell r="F979" t="str">
            <v>CASABLANCA SUBA</v>
          </cell>
        </row>
        <row r="980">
          <cell r="B980" t="str">
            <v>009216</v>
          </cell>
          <cell r="C980">
            <v>11</v>
          </cell>
          <cell r="D980" t="str">
            <v>SUBA</v>
          </cell>
          <cell r="E980" t="str">
            <v>009216</v>
          </cell>
          <cell r="F980" t="str">
            <v>LA GAITANA</v>
          </cell>
        </row>
        <row r="981">
          <cell r="B981" t="str">
            <v>009217</v>
          </cell>
          <cell r="C981">
            <v>11</v>
          </cell>
          <cell r="D981" t="str">
            <v>SUBA</v>
          </cell>
          <cell r="E981" t="str">
            <v>009217</v>
          </cell>
          <cell r="F981" t="str">
            <v>RINCON DE SANTA INES</v>
          </cell>
        </row>
        <row r="982">
          <cell r="B982" t="str">
            <v>009218</v>
          </cell>
          <cell r="C982">
            <v>11</v>
          </cell>
          <cell r="D982" t="str">
            <v>SUBA</v>
          </cell>
          <cell r="E982" t="str">
            <v>009218</v>
          </cell>
          <cell r="F982" t="str">
            <v>ALMIRANTE COLON</v>
          </cell>
        </row>
        <row r="983">
          <cell r="B983" t="str">
            <v>009219</v>
          </cell>
          <cell r="C983">
            <v>11</v>
          </cell>
          <cell r="D983" t="str">
            <v>SUBA</v>
          </cell>
          <cell r="E983" t="str">
            <v>009219</v>
          </cell>
          <cell r="F983" t="str">
            <v>CAMPANELLA</v>
          </cell>
        </row>
        <row r="984">
          <cell r="B984" t="str">
            <v>009220</v>
          </cell>
          <cell r="C984">
            <v>11</v>
          </cell>
          <cell r="D984" t="str">
            <v>SUBA</v>
          </cell>
          <cell r="E984" t="str">
            <v>009220</v>
          </cell>
          <cell r="F984" t="str">
            <v>LAGO DE SUBA</v>
          </cell>
        </row>
        <row r="985">
          <cell r="B985" t="str">
            <v>009221</v>
          </cell>
          <cell r="C985">
            <v>11</v>
          </cell>
          <cell r="D985" t="str">
            <v>SUBA</v>
          </cell>
          <cell r="E985" t="str">
            <v>009221</v>
          </cell>
          <cell r="F985" t="str">
            <v>LA CHUCUA</v>
          </cell>
        </row>
        <row r="986">
          <cell r="B986" t="str">
            <v>009222</v>
          </cell>
          <cell r="C986">
            <v>11</v>
          </cell>
          <cell r="D986" t="str">
            <v>SUBA</v>
          </cell>
          <cell r="E986" t="str">
            <v>009222</v>
          </cell>
          <cell r="F986" t="str">
            <v>ALTOS DE CHOZICA</v>
          </cell>
        </row>
        <row r="987">
          <cell r="B987" t="str">
            <v>009223</v>
          </cell>
          <cell r="C987">
            <v>11</v>
          </cell>
          <cell r="D987" t="str">
            <v>SUBA</v>
          </cell>
          <cell r="E987" t="str">
            <v>009223</v>
          </cell>
          <cell r="F987" t="str">
            <v>TTES DE COLOMBIA</v>
          </cell>
        </row>
        <row r="988">
          <cell r="B988" t="str">
            <v>009224</v>
          </cell>
          <cell r="C988">
            <v>11</v>
          </cell>
          <cell r="D988" t="str">
            <v>SUBA</v>
          </cell>
          <cell r="E988" t="str">
            <v>009224</v>
          </cell>
          <cell r="F988" t="str">
            <v>NUEVA TIBABUYES</v>
          </cell>
        </row>
        <row r="989">
          <cell r="B989" t="str">
            <v>009225</v>
          </cell>
          <cell r="C989">
            <v>11</v>
          </cell>
          <cell r="D989" t="str">
            <v>SUBA</v>
          </cell>
          <cell r="E989" t="str">
            <v>009225</v>
          </cell>
          <cell r="F989" t="str">
            <v>TIBABUYES UNIVERSAL</v>
          </cell>
        </row>
        <row r="990">
          <cell r="B990" t="str">
            <v>009226</v>
          </cell>
          <cell r="C990">
            <v>11</v>
          </cell>
          <cell r="D990" t="str">
            <v>SUBA</v>
          </cell>
          <cell r="E990" t="str">
            <v>009226</v>
          </cell>
          <cell r="F990" t="str">
            <v>SALITRE SUBA</v>
          </cell>
        </row>
        <row r="991">
          <cell r="B991" t="str">
            <v>009227</v>
          </cell>
          <cell r="C991">
            <v>11</v>
          </cell>
          <cell r="D991" t="str">
            <v>SUBA</v>
          </cell>
          <cell r="E991" t="str">
            <v>009227</v>
          </cell>
          <cell r="F991" t="str">
            <v>LECH WALESA</v>
          </cell>
        </row>
        <row r="992">
          <cell r="B992" t="str">
            <v>009228</v>
          </cell>
          <cell r="C992">
            <v>11</v>
          </cell>
          <cell r="D992" t="str">
            <v>SUBA</v>
          </cell>
          <cell r="E992" t="str">
            <v>009228</v>
          </cell>
          <cell r="F992" t="str">
            <v>LOMBARDIA</v>
          </cell>
        </row>
        <row r="993">
          <cell r="B993" t="str">
            <v>009229</v>
          </cell>
          <cell r="C993">
            <v>11</v>
          </cell>
          <cell r="D993" t="str">
            <v>SUBA</v>
          </cell>
          <cell r="E993" t="str">
            <v>009229</v>
          </cell>
          <cell r="F993" t="str">
            <v>TOSCANA</v>
          </cell>
        </row>
        <row r="994">
          <cell r="B994" t="str">
            <v>009230</v>
          </cell>
          <cell r="C994">
            <v>11</v>
          </cell>
          <cell r="D994" t="str">
            <v>SUBA</v>
          </cell>
          <cell r="E994" t="str">
            <v>009230</v>
          </cell>
          <cell r="F994" t="str">
            <v>SAN CAYETANO</v>
          </cell>
        </row>
        <row r="995">
          <cell r="B995" t="str">
            <v>009231</v>
          </cell>
          <cell r="C995">
            <v>11</v>
          </cell>
          <cell r="D995" t="str">
            <v>SUBA</v>
          </cell>
          <cell r="E995" t="str">
            <v>009231</v>
          </cell>
          <cell r="F995" t="str">
            <v>SUBA CERROS</v>
          </cell>
        </row>
        <row r="996">
          <cell r="B996" t="str">
            <v>009232</v>
          </cell>
          <cell r="C996">
            <v>11</v>
          </cell>
          <cell r="D996" t="str">
            <v>SUBA</v>
          </cell>
          <cell r="E996" t="str">
            <v>009232</v>
          </cell>
          <cell r="F996" t="str">
            <v>SABANA DE TIBABUYES</v>
          </cell>
        </row>
        <row r="997">
          <cell r="B997" t="str">
            <v>009233</v>
          </cell>
          <cell r="C997">
            <v>11</v>
          </cell>
          <cell r="D997" t="str">
            <v>SUBA</v>
          </cell>
          <cell r="E997" t="str">
            <v>009233</v>
          </cell>
          <cell r="F997" t="str">
            <v>TIBABUYES</v>
          </cell>
        </row>
        <row r="998">
          <cell r="B998" t="str">
            <v>009234</v>
          </cell>
          <cell r="C998">
            <v>11</v>
          </cell>
          <cell r="D998" t="str">
            <v>SUBA</v>
          </cell>
          <cell r="E998" t="str">
            <v>009234</v>
          </cell>
          <cell r="F998" t="str">
            <v>SABANA DE TIBABUYES NORTE</v>
          </cell>
        </row>
        <row r="999">
          <cell r="B999" t="str">
            <v>009235</v>
          </cell>
          <cell r="C999">
            <v>11</v>
          </cell>
          <cell r="D999" t="str">
            <v>SUBA</v>
          </cell>
          <cell r="E999" t="str">
            <v>009235</v>
          </cell>
          <cell r="F999" t="str">
            <v>CIUDAD HUNZA</v>
          </cell>
        </row>
        <row r="1000">
          <cell r="B1000" t="str">
            <v>009236</v>
          </cell>
          <cell r="C1000">
            <v>11</v>
          </cell>
          <cell r="D1000" t="str">
            <v>SUBA</v>
          </cell>
          <cell r="E1000" t="str">
            <v>009236</v>
          </cell>
          <cell r="F1000" t="str">
            <v>LA CAROLINA DE SUBA</v>
          </cell>
        </row>
        <row r="1001">
          <cell r="B1001" t="str">
            <v>009237</v>
          </cell>
          <cell r="C1001">
            <v>11</v>
          </cell>
          <cell r="D1001" t="str">
            <v>SUBA</v>
          </cell>
          <cell r="E1001" t="str">
            <v>009237</v>
          </cell>
          <cell r="F1001" t="str">
            <v>RINCON DE SUBA</v>
          </cell>
        </row>
        <row r="1002">
          <cell r="B1002" t="str">
            <v>009238</v>
          </cell>
          <cell r="C1002">
            <v>11</v>
          </cell>
          <cell r="D1002" t="str">
            <v>SUBA</v>
          </cell>
          <cell r="E1002" t="str">
            <v>009238</v>
          </cell>
          <cell r="F1002" t="str">
            <v>SANTA TERESA DE SUBA</v>
          </cell>
        </row>
        <row r="1003">
          <cell r="B1003" t="str">
            <v>009239</v>
          </cell>
          <cell r="C1003">
            <v>11</v>
          </cell>
          <cell r="D1003" t="str">
            <v>SUBA</v>
          </cell>
          <cell r="E1003" t="str">
            <v>009239</v>
          </cell>
          <cell r="F1003" t="str">
            <v>LAS MERCEDES SUBA</v>
          </cell>
        </row>
        <row r="1004">
          <cell r="B1004" t="str">
            <v>009240</v>
          </cell>
          <cell r="C1004">
            <v>11</v>
          </cell>
          <cell r="D1004" t="str">
            <v>SUBA</v>
          </cell>
          <cell r="E1004" t="str">
            <v>009240</v>
          </cell>
          <cell r="F1004" t="str">
            <v>POTRERILLO</v>
          </cell>
        </row>
        <row r="1005">
          <cell r="B1005" t="str">
            <v>009241</v>
          </cell>
          <cell r="C1005">
            <v>11</v>
          </cell>
          <cell r="D1005" t="str">
            <v>SUBA</v>
          </cell>
          <cell r="E1005" t="str">
            <v>009241</v>
          </cell>
          <cell r="F1005" t="str">
            <v>BOSQUES DE SAN JORGE</v>
          </cell>
        </row>
        <row r="1006">
          <cell r="B1006" t="str">
            <v>009242</v>
          </cell>
          <cell r="C1006">
            <v>11</v>
          </cell>
          <cell r="D1006" t="str">
            <v>SUBA</v>
          </cell>
          <cell r="E1006" t="str">
            <v>009242</v>
          </cell>
          <cell r="F1006" t="str">
            <v>TUNA BAJA</v>
          </cell>
        </row>
        <row r="1007">
          <cell r="B1007" t="str">
            <v>009243</v>
          </cell>
          <cell r="C1007">
            <v>11</v>
          </cell>
          <cell r="D1007" t="str">
            <v>SUBA</v>
          </cell>
          <cell r="E1007" t="str">
            <v>009243</v>
          </cell>
          <cell r="F1007" t="str">
            <v>LAS MERCEDES I</v>
          </cell>
        </row>
        <row r="1008">
          <cell r="B1008" t="str">
            <v>009244</v>
          </cell>
          <cell r="C1008">
            <v>11</v>
          </cell>
          <cell r="D1008" t="str">
            <v>SUBA</v>
          </cell>
          <cell r="E1008" t="str">
            <v>009244</v>
          </cell>
          <cell r="F1008" t="str">
            <v>VILLA HERMOSA</v>
          </cell>
        </row>
        <row r="1009">
          <cell r="B1009" t="str">
            <v>009245</v>
          </cell>
          <cell r="C1009">
            <v>11</v>
          </cell>
          <cell r="D1009" t="str">
            <v>SUBA</v>
          </cell>
          <cell r="E1009" t="str">
            <v>009245</v>
          </cell>
          <cell r="F1009" t="str">
            <v>PINOS DE LOMBARDIA</v>
          </cell>
        </row>
        <row r="1010">
          <cell r="B1010" t="str">
            <v>009246</v>
          </cell>
          <cell r="C1010">
            <v>11</v>
          </cell>
          <cell r="D1010" t="str">
            <v>SUBA</v>
          </cell>
          <cell r="E1010" t="str">
            <v>009246</v>
          </cell>
          <cell r="F1010" t="str">
            <v>DELMONTE</v>
          </cell>
        </row>
        <row r="1011">
          <cell r="B1011" t="str">
            <v>009247</v>
          </cell>
          <cell r="C1011">
            <v>11</v>
          </cell>
          <cell r="D1011" t="str">
            <v>SUBA</v>
          </cell>
          <cell r="E1011" t="str">
            <v>009247</v>
          </cell>
          <cell r="F1011" t="str">
            <v>IRAGUA</v>
          </cell>
        </row>
        <row r="1012">
          <cell r="B1012" t="str">
            <v>009248</v>
          </cell>
          <cell r="C1012">
            <v>11</v>
          </cell>
          <cell r="D1012" t="str">
            <v>SUBA</v>
          </cell>
          <cell r="E1012" t="str">
            <v>009248</v>
          </cell>
          <cell r="F1012" t="str">
            <v>TIBABUYES II</v>
          </cell>
        </row>
        <row r="1013">
          <cell r="B1013" t="str">
            <v>009249</v>
          </cell>
          <cell r="C1013">
            <v>11</v>
          </cell>
          <cell r="D1013" t="str">
            <v>SUBA</v>
          </cell>
          <cell r="E1013" t="str">
            <v>009249</v>
          </cell>
          <cell r="F1013" t="str">
            <v>VEREDA SUBA NARANJOS</v>
          </cell>
        </row>
        <row r="1014">
          <cell r="B1014" t="str">
            <v>009250</v>
          </cell>
          <cell r="C1014">
            <v>11</v>
          </cell>
          <cell r="D1014" t="str">
            <v>SUBA</v>
          </cell>
          <cell r="E1014" t="str">
            <v>009250</v>
          </cell>
          <cell r="F1014" t="str">
            <v>TIBABUYES OCCIDENTAL</v>
          </cell>
        </row>
        <row r="1015">
          <cell r="B1015" t="str">
            <v>009251</v>
          </cell>
          <cell r="C1015">
            <v>11</v>
          </cell>
          <cell r="D1015" t="str">
            <v>SUBA</v>
          </cell>
          <cell r="E1015" t="str">
            <v>009251</v>
          </cell>
          <cell r="F1015" t="str">
            <v>SAN CARLOS DE SUBA</v>
          </cell>
        </row>
        <row r="1016">
          <cell r="B1016" t="str">
            <v>009252</v>
          </cell>
          <cell r="C1016">
            <v>11</v>
          </cell>
          <cell r="D1016" t="str">
            <v>SUBA</v>
          </cell>
          <cell r="E1016" t="str">
            <v>009252</v>
          </cell>
          <cell r="F1016" t="str">
            <v>BILBAO</v>
          </cell>
        </row>
        <row r="1017">
          <cell r="B1017" t="str">
            <v>009253</v>
          </cell>
          <cell r="C1017">
            <v>11</v>
          </cell>
          <cell r="D1017" t="str">
            <v>SUBA</v>
          </cell>
          <cell r="E1017" t="str">
            <v>009253</v>
          </cell>
          <cell r="F1017" t="str">
            <v>SAN PEDRO</v>
          </cell>
        </row>
        <row r="1018">
          <cell r="B1018" t="str">
            <v>009254</v>
          </cell>
          <cell r="C1018">
            <v>11</v>
          </cell>
          <cell r="D1018" t="str">
            <v>SUBA</v>
          </cell>
          <cell r="E1018" t="str">
            <v>009254</v>
          </cell>
          <cell r="F1018" t="str">
            <v>LISBOA</v>
          </cell>
        </row>
        <row r="1019">
          <cell r="B1019" t="str">
            <v>009255</v>
          </cell>
          <cell r="C1019">
            <v>11</v>
          </cell>
          <cell r="D1019" t="str">
            <v>SUBA</v>
          </cell>
          <cell r="E1019" t="str">
            <v>009255</v>
          </cell>
          <cell r="F1019" t="str">
            <v>SANTA RITA DE SUBA</v>
          </cell>
        </row>
        <row r="1020">
          <cell r="B1020" t="str">
            <v>009256</v>
          </cell>
          <cell r="C1020">
            <v>11</v>
          </cell>
          <cell r="D1020" t="str">
            <v>SUBA</v>
          </cell>
          <cell r="E1020" t="str">
            <v>009256</v>
          </cell>
          <cell r="F1020" t="str">
            <v>SANTA CECILIA</v>
          </cell>
        </row>
        <row r="1021">
          <cell r="B1021" t="str">
            <v>009257</v>
          </cell>
          <cell r="C1021">
            <v>11</v>
          </cell>
          <cell r="D1021" t="str">
            <v>SUBA</v>
          </cell>
          <cell r="E1021" t="str">
            <v>009257</v>
          </cell>
          <cell r="F1021" t="str">
            <v>TIBABUYES</v>
          </cell>
        </row>
        <row r="1022">
          <cell r="B1022" t="str">
            <v>009258</v>
          </cell>
          <cell r="C1022">
            <v>11</v>
          </cell>
          <cell r="D1022" t="str">
            <v>SUBA</v>
          </cell>
          <cell r="E1022" t="str">
            <v>009258</v>
          </cell>
          <cell r="F1022" t="str">
            <v>CASA BLANCA SUBA I</v>
          </cell>
        </row>
        <row r="1023">
          <cell r="B1023" t="str">
            <v>009259</v>
          </cell>
          <cell r="C1023">
            <v>11</v>
          </cell>
          <cell r="D1023" t="str">
            <v>SUBA</v>
          </cell>
          <cell r="E1023" t="str">
            <v>009259</v>
          </cell>
          <cell r="F1023" t="str">
            <v>BERLIN</v>
          </cell>
        </row>
        <row r="1024">
          <cell r="B1024" t="str">
            <v>009260</v>
          </cell>
          <cell r="C1024">
            <v>11</v>
          </cell>
          <cell r="D1024" t="str">
            <v>SUBA</v>
          </cell>
          <cell r="E1024" t="str">
            <v>009260</v>
          </cell>
          <cell r="F1024" t="str">
            <v>ALTOS DE SUBA</v>
          </cell>
        </row>
        <row r="1025">
          <cell r="B1025" t="str">
            <v>009261</v>
          </cell>
          <cell r="C1025">
            <v>11</v>
          </cell>
          <cell r="D1025" t="str">
            <v>SUBA</v>
          </cell>
          <cell r="E1025" t="str">
            <v>009261</v>
          </cell>
          <cell r="F1025" t="str">
            <v>TUNA</v>
          </cell>
        </row>
        <row r="1026">
          <cell r="B1026" t="str">
            <v>009262</v>
          </cell>
          <cell r="C1026">
            <v>11</v>
          </cell>
          <cell r="D1026" t="str">
            <v>SUBA</v>
          </cell>
          <cell r="E1026" t="str">
            <v>009262</v>
          </cell>
          <cell r="F1026" t="str">
            <v>LA GAITANA ORIENTAL</v>
          </cell>
        </row>
        <row r="1027">
          <cell r="B1027" t="str">
            <v>009263</v>
          </cell>
          <cell r="C1027">
            <v>11</v>
          </cell>
          <cell r="D1027" t="str">
            <v>SUBA</v>
          </cell>
          <cell r="E1027" t="str">
            <v>009263</v>
          </cell>
          <cell r="F1027" t="str">
            <v>VILLA ALCAZAR</v>
          </cell>
        </row>
        <row r="1028">
          <cell r="B1028" t="str">
            <v>009265</v>
          </cell>
          <cell r="C1028">
            <v>11</v>
          </cell>
          <cell r="D1028" t="str">
            <v>SUBA</v>
          </cell>
          <cell r="E1028" t="str">
            <v>009265</v>
          </cell>
          <cell r="F1028" t="str">
            <v>VEREDA SUBA CERROS II</v>
          </cell>
        </row>
        <row r="1029">
          <cell r="B1029" t="str">
            <v>009266</v>
          </cell>
          <cell r="C1029">
            <v>11</v>
          </cell>
          <cell r="D1029" t="str">
            <v>SUBA</v>
          </cell>
          <cell r="E1029" t="str">
            <v>009266</v>
          </cell>
          <cell r="F1029" t="str">
            <v>RINCON ALTAMAR</v>
          </cell>
        </row>
        <row r="1030">
          <cell r="B1030" t="str">
            <v>009267</v>
          </cell>
          <cell r="C1030">
            <v>11</v>
          </cell>
          <cell r="D1030" t="str">
            <v>SUBA</v>
          </cell>
          <cell r="E1030" t="str">
            <v>009267</v>
          </cell>
          <cell r="F1030" t="str">
            <v>VILLA MARIA I</v>
          </cell>
        </row>
        <row r="1031">
          <cell r="B1031" t="str">
            <v>009268</v>
          </cell>
          <cell r="C1031">
            <v>11</v>
          </cell>
          <cell r="D1031" t="str">
            <v>SUBA</v>
          </cell>
          <cell r="E1031" t="str">
            <v>009268</v>
          </cell>
          <cell r="F1031" t="str">
            <v>SANTA CECILIA DE SUBA I</v>
          </cell>
        </row>
        <row r="1032">
          <cell r="B1032" t="str">
            <v>101101</v>
          </cell>
          <cell r="C1032">
            <v>2</v>
          </cell>
          <cell r="D1032" t="str">
            <v>CHAPINERO</v>
          </cell>
          <cell r="E1032" t="str">
            <v>101101</v>
          </cell>
          <cell r="F1032" t="str">
            <v>EL BAGAZAL</v>
          </cell>
        </row>
        <row r="1033">
          <cell r="B1033" t="str">
            <v>101103</v>
          </cell>
          <cell r="C1033">
            <v>2</v>
          </cell>
          <cell r="D1033" t="str">
            <v>CHAPINERO</v>
          </cell>
          <cell r="E1033" t="str">
            <v>101103</v>
          </cell>
          <cell r="F1033" t="str">
            <v>INGEMAR ORIENTAL RURAL</v>
          </cell>
        </row>
        <row r="1034">
          <cell r="B1034" t="str">
            <v>101110</v>
          </cell>
          <cell r="C1034">
            <v>2</v>
          </cell>
          <cell r="D1034" t="str">
            <v>CHAPINERO</v>
          </cell>
          <cell r="E1034" t="str">
            <v>101110</v>
          </cell>
          <cell r="F1034" t="str">
            <v>PARAMO I RURAL</v>
          </cell>
        </row>
        <row r="1035">
          <cell r="B1035" t="str">
            <v>101201</v>
          </cell>
          <cell r="C1035">
            <v>3</v>
          </cell>
          <cell r="D1035" t="str">
            <v>SANTA FE</v>
          </cell>
          <cell r="E1035" t="str">
            <v>101201</v>
          </cell>
          <cell r="F1035" t="str">
            <v>HOYA TEUSACA</v>
          </cell>
        </row>
        <row r="1036">
          <cell r="B1036" t="str">
            <v>101301</v>
          </cell>
          <cell r="C1036">
            <v>4</v>
          </cell>
          <cell r="D1036" t="str">
            <v>SAN CRISTOBAL</v>
          </cell>
          <cell r="E1036" t="str">
            <v>101301</v>
          </cell>
          <cell r="F1036" t="str">
            <v>HOYA SAN CRISTOBAL</v>
          </cell>
        </row>
        <row r="1037">
          <cell r="B1037" t="str">
            <v>101302</v>
          </cell>
          <cell r="C1037">
            <v>4</v>
          </cell>
          <cell r="D1037" t="str">
            <v>SAN CRISTOBAL</v>
          </cell>
          <cell r="E1037" t="str">
            <v>101302</v>
          </cell>
          <cell r="F1037" t="str">
            <v>MOLINO RURAL</v>
          </cell>
        </row>
        <row r="1038">
          <cell r="B1038" t="str">
            <v>101306</v>
          </cell>
          <cell r="C1038">
            <v>5</v>
          </cell>
          <cell r="D1038" t="str">
            <v>USME</v>
          </cell>
          <cell r="E1038" t="str">
            <v>101306</v>
          </cell>
          <cell r="F1038" t="str">
            <v>TIBAQUE</v>
          </cell>
        </row>
        <row r="1039">
          <cell r="B1039" t="str">
            <v>101307</v>
          </cell>
          <cell r="C1039">
            <v>5</v>
          </cell>
          <cell r="D1039" t="str">
            <v>USME</v>
          </cell>
          <cell r="E1039" t="str">
            <v>101307</v>
          </cell>
          <cell r="F1039" t="str">
            <v>TIHUAQUE RURAL</v>
          </cell>
        </row>
        <row r="1040">
          <cell r="B1040" t="str">
            <v>101308</v>
          </cell>
          <cell r="C1040">
            <v>4</v>
          </cell>
          <cell r="D1040" t="str">
            <v>SAN CRISTOBAL</v>
          </cell>
          <cell r="E1040" t="str">
            <v>101308</v>
          </cell>
          <cell r="F1040" t="str">
            <v>CHIGUAZA RURAL</v>
          </cell>
        </row>
        <row r="1041">
          <cell r="B1041" t="str">
            <v>101309</v>
          </cell>
          <cell r="C1041">
            <v>4</v>
          </cell>
          <cell r="D1041" t="str">
            <v>SAN CRISTOBAL</v>
          </cell>
          <cell r="E1041" t="str">
            <v>101309</v>
          </cell>
          <cell r="F1041" t="str">
            <v>LA ARBOLEDA RURAL</v>
          </cell>
        </row>
        <row r="1042">
          <cell r="B1042" t="str">
            <v>101405</v>
          </cell>
          <cell r="C1042">
            <v>4</v>
          </cell>
          <cell r="D1042" t="str">
            <v>SAN CRISTOBAL</v>
          </cell>
          <cell r="E1042" t="str">
            <v>101405</v>
          </cell>
          <cell r="F1042" t="str">
            <v>PARQUE NACIONAL ORIENTAL</v>
          </cell>
        </row>
        <row r="1043">
          <cell r="B1043" t="str">
            <v>101502</v>
          </cell>
          <cell r="C1043">
            <v>2</v>
          </cell>
          <cell r="D1043" t="str">
            <v>CHAPINERO</v>
          </cell>
          <cell r="E1043" t="str">
            <v>101502</v>
          </cell>
          <cell r="F1043" t="str">
            <v>SIBERIA</v>
          </cell>
        </row>
        <row r="1044">
          <cell r="B1044" t="str">
            <v>102110</v>
          </cell>
          <cell r="C1044">
            <v>5</v>
          </cell>
          <cell r="D1044" t="str">
            <v>USME</v>
          </cell>
          <cell r="E1044" t="str">
            <v>102110</v>
          </cell>
          <cell r="F1044" t="str">
            <v>EL PORVENIR DE LOS SOCHES</v>
          </cell>
        </row>
        <row r="1045">
          <cell r="B1045" t="str">
            <v>102111</v>
          </cell>
          <cell r="C1045">
            <v>5</v>
          </cell>
          <cell r="D1045" t="str">
            <v>USME</v>
          </cell>
          <cell r="E1045" t="str">
            <v>102111</v>
          </cell>
          <cell r="F1045" t="str">
            <v>LOS ARRAYANES</v>
          </cell>
        </row>
        <row r="1046">
          <cell r="B1046" t="str">
            <v>102112</v>
          </cell>
          <cell r="C1046">
            <v>5</v>
          </cell>
          <cell r="D1046" t="str">
            <v>USME</v>
          </cell>
          <cell r="E1046" t="str">
            <v>102112</v>
          </cell>
          <cell r="F1046" t="str">
            <v>EL HATO</v>
          </cell>
        </row>
        <row r="1047">
          <cell r="B1047" t="str">
            <v>102113</v>
          </cell>
          <cell r="C1047">
            <v>5</v>
          </cell>
          <cell r="D1047" t="str">
            <v>USME</v>
          </cell>
          <cell r="E1047" t="str">
            <v>102113</v>
          </cell>
          <cell r="F1047" t="str">
            <v>LAS MARGARITAS</v>
          </cell>
        </row>
        <row r="1048">
          <cell r="B1048" t="str">
            <v>102114</v>
          </cell>
          <cell r="C1048">
            <v>5</v>
          </cell>
          <cell r="D1048" t="str">
            <v>USME</v>
          </cell>
          <cell r="E1048" t="str">
            <v>102114</v>
          </cell>
          <cell r="F1048" t="str">
            <v>LOS ANDES</v>
          </cell>
        </row>
        <row r="1049">
          <cell r="B1049" t="str">
            <v>102115</v>
          </cell>
          <cell r="C1049">
            <v>5</v>
          </cell>
          <cell r="D1049" t="str">
            <v>USME</v>
          </cell>
          <cell r="E1049" t="str">
            <v>102115</v>
          </cell>
          <cell r="F1049" t="str">
            <v>LA UNION</v>
          </cell>
        </row>
        <row r="1050">
          <cell r="B1050" t="str">
            <v>102116</v>
          </cell>
          <cell r="C1050">
            <v>5</v>
          </cell>
          <cell r="D1050" t="str">
            <v>USME</v>
          </cell>
          <cell r="E1050" t="str">
            <v>102116</v>
          </cell>
          <cell r="F1050" t="str">
            <v>CHISACA</v>
          </cell>
        </row>
        <row r="1051">
          <cell r="B1051" t="str">
            <v>102118</v>
          </cell>
          <cell r="C1051">
            <v>5</v>
          </cell>
          <cell r="D1051" t="str">
            <v>USME</v>
          </cell>
          <cell r="E1051" t="str">
            <v>102118</v>
          </cell>
          <cell r="F1051" t="str">
            <v>LAS VIOLETAS RURAL</v>
          </cell>
        </row>
        <row r="1052">
          <cell r="B1052" t="str">
            <v>102122</v>
          </cell>
          <cell r="C1052">
            <v>5</v>
          </cell>
          <cell r="D1052" t="str">
            <v>USME</v>
          </cell>
          <cell r="E1052" t="str">
            <v>102122</v>
          </cell>
          <cell r="F1052" t="str">
            <v>LA REQUILINA RURAL</v>
          </cell>
        </row>
        <row r="1053">
          <cell r="B1053" t="str">
            <v>102211</v>
          </cell>
          <cell r="C1053">
            <v>5</v>
          </cell>
          <cell r="D1053" t="str">
            <v>USME</v>
          </cell>
          <cell r="E1053" t="str">
            <v>102211</v>
          </cell>
          <cell r="F1053" t="str">
            <v>LILIANA</v>
          </cell>
        </row>
        <row r="1054">
          <cell r="B1054" t="str">
            <v>102309</v>
          </cell>
          <cell r="C1054">
            <v>5</v>
          </cell>
          <cell r="D1054" t="str">
            <v>USME</v>
          </cell>
          <cell r="E1054" t="str">
            <v>102309</v>
          </cell>
          <cell r="F1054" t="str">
            <v>EL BOSQUE SUR ORIENTAL</v>
          </cell>
        </row>
        <row r="1055">
          <cell r="B1055" t="str">
            <v>102310</v>
          </cell>
          <cell r="C1055">
            <v>5</v>
          </cell>
          <cell r="D1055" t="str">
            <v>USME</v>
          </cell>
          <cell r="E1055" t="str">
            <v>102310</v>
          </cell>
          <cell r="F1055" t="str">
            <v>EL BOSQUE SUR ORIENTAL RURAL I</v>
          </cell>
        </row>
        <row r="1056">
          <cell r="B1056" t="str">
            <v>102312</v>
          </cell>
          <cell r="C1056">
            <v>5</v>
          </cell>
          <cell r="D1056" t="str">
            <v>USME</v>
          </cell>
          <cell r="E1056" t="str">
            <v>102312</v>
          </cell>
          <cell r="F1056" t="str">
            <v>CIUDAD LONDRES RURAL</v>
          </cell>
        </row>
        <row r="1057">
          <cell r="B1057" t="str">
            <v>102401</v>
          </cell>
          <cell r="C1057">
            <v>5</v>
          </cell>
          <cell r="D1057" t="str">
            <v>USME</v>
          </cell>
          <cell r="E1057" t="str">
            <v>102401</v>
          </cell>
          <cell r="F1057" t="str">
            <v>LOS ARRAYANES</v>
          </cell>
        </row>
        <row r="1058">
          <cell r="B1058" t="str">
            <v>102405</v>
          </cell>
          <cell r="C1058">
            <v>5</v>
          </cell>
          <cell r="D1058" t="str">
            <v>USME</v>
          </cell>
          <cell r="E1058" t="str">
            <v>102405</v>
          </cell>
          <cell r="F1058" t="str">
            <v>PEPINITOS</v>
          </cell>
        </row>
        <row r="1059">
          <cell r="B1059" t="str">
            <v>102406</v>
          </cell>
          <cell r="C1059">
            <v>5</v>
          </cell>
          <cell r="D1059" t="str">
            <v>USME</v>
          </cell>
          <cell r="E1059" t="str">
            <v>102406</v>
          </cell>
          <cell r="F1059" t="str">
            <v>EL BOSQUE CENTRAL</v>
          </cell>
        </row>
        <row r="1060">
          <cell r="B1060" t="str">
            <v>102407</v>
          </cell>
          <cell r="C1060">
            <v>5</v>
          </cell>
          <cell r="D1060" t="str">
            <v>USME</v>
          </cell>
          <cell r="E1060" t="str">
            <v>102407</v>
          </cell>
          <cell r="F1060" t="str">
            <v>TIBAQUE SUR</v>
          </cell>
        </row>
        <row r="1061">
          <cell r="B1061" t="str">
            <v>102412</v>
          </cell>
          <cell r="C1061">
            <v>5</v>
          </cell>
          <cell r="D1061" t="str">
            <v>USME</v>
          </cell>
          <cell r="E1061" t="str">
            <v>102412</v>
          </cell>
          <cell r="F1061" t="str">
            <v>TOCAIMITA SUR</v>
          </cell>
        </row>
        <row r="1062">
          <cell r="B1062" t="str">
            <v>102502</v>
          </cell>
          <cell r="C1062">
            <v>5</v>
          </cell>
          <cell r="D1062" t="str">
            <v>USME</v>
          </cell>
          <cell r="E1062" t="str">
            <v>102502</v>
          </cell>
          <cell r="F1062" t="str">
            <v>EL UVAL RURAL</v>
          </cell>
        </row>
        <row r="1063">
          <cell r="B1063" t="str">
            <v>102506</v>
          </cell>
          <cell r="C1063">
            <v>5</v>
          </cell>
          <cell r="D1063" t="str">
            <v>USME</v>
          </cell>
          <cell r="E1063" t="str">
            <v>102506</v>
          </cell>
          <cell r="F1063" t="str">
            <v>PORTAL RURAL II</v>
          </cell>
        </row>
        <row r="1064">
          <cell r="B1064" t="str">
            <v>102601</v>
          </cell>
          <cell r="C1064">
            <v>5</v>
          </cell>
          <cell r="D1064" t="str">
            <v>USME</v>
          </cell>
          <cell r="E1064" t="str">
            <v>102601</v>
          </cell>
          <cell r="F1064" t="str">
            <v>CENTRO USME RURAL</v>
          </cell>
        </row>
        <row r="1065">
          <cell r="B1065" t="str">
            <v>102602</v>
          </cell>
          <cell r="C1065">
            <v>5</v>
          </cell>
          <cell r="D1065" t="str">
            <v>USME</v>
          </cell>
          <cell r="E1065" t="str">
            <v>102602</v>
          </cell>
          <cell r="F1065" t="str">
            <v>CENTRO USME RURAL I</v>
          </cell>
        </row>
        <row r="1066">
          <cell r="B1066" t="str">
            <v>102603</v>
          </cell>
          <cell r="C1066">
            <v>5</v>
          </cell>
          <cell r="D1066" t="str">
            <v>USME</v>
          </cell>
          <cell r="E1066" t="str">
            <v>102603</v>
          </cell>
          <cell r="F1066" t="str">
            <v>CENTRO USME RURAL II</v>
          </cell>
        </row>
        <row r="1067">
          <cell r="B1067" t="str">
            <v>102604</v>
          </cell>
          <cell r="C1067">
            <v>5</v>
          </cell>
          <cell r="D1067" t="str">
            <v>USME</v>
          </cell>
          <cell r="E1067" t="str">
            <v>102604</v>
          </cell>
          <cell r="F1067" t="str">
            <v>LA REQUILINA RURAL II</v>
          </cell>
        </row>
        <row r="1068">
          <cell r="B1068" t="str">
            <v>102707</v>
          </cell>
          <cell r="C1068">
            <v>5</v>
          </cell>
          <cell r="D1068" t="str">
            <v>USME</v>
          </cell>
          <cell r="E1068" t="str">
            <v>102707</v>
          </cell>
          <cell r="F1068" t="str">
            <v>OLARTE</v>
          </cell>
        </row>
        <row r="1069">
          <cell r="B1069" t="str">
            <v>102808</v>
          </cell>
          <cell r="C1069">
            <v>5</v>
          </cell>
          <cell r="D1069" t="str">
            <v>USME</v>
          </cell>
          <cell r="E1069" t="str">
            <v>102808</v>
          </cell>
          <cell r="F1069" t="str">
            <v>LA REGADERA</v>
          </cell>
        </row>
        <row r="1070">
          <cell r="B1070" t="str">
            <v>102909</v>
          </cell>
          <cell r="C1070">
            <v>5</v>
          </cell>
          <cell r="D1070" t="str">
            <v>USME</v>
          </cell>
          <cell r="E1070" t="str">
            <v>102909</v>
          </cell>
          <cell r="F1070" t="str">
            <v>SAN BENITO</v>
          </cell>
        </row>
        <row r="1071">
          <cell r="B1071" t="str">
            <v>102910</v>
          </cell>
          <cell r="C1071">
            <v>5</v>
          </cell>
          <cell r="D1071" t="str">
            <v>USME</v>
          </cell>
          <cell r="E1071" t="str">
            <v>102910</v>
          </cell>
          <cell r="F1071" t="str">
            <v>ARRAYAN</v>
          </cell>
        </row>
        <row r="1072">
          <cell r="B1072" t="str">
            <v>102911</v>
          </cell>
          <cell r="C1072">
            <v>5</v>
          </cell>
          <cell r="D1072" t="str">
            <v>USME</v>
          </cell>
          <cell r="E1072" t="str">
            <v>102911</v>
          </cell>
          <cell r="F1072" t="str">
            <v>CURUBITAL</v>
          </cell>
        </row>
        <row r="1073">
          <cell r="B1073" t="str">
            <v>103101</v>
          </cell>
          <cell r="C1073">
            <v>20</v>
          </cell>
          <cell r="D1073" t="str">
            <v>SUMAPAZ</v>
          </cell>
          <cell r="E1073" t="str">
            <v>103101</v>
          </cell>
          <cell r="F1073" t="str">
            <v>SANTA ROSA ALTA</v>
          </cell>
        </row>
        <row r="1074">
          <cell r="B1074" t="str">
            <v>103102</v>
          </cell>
          <cell r="C1074">
            <v>20</v>
          </cell>
          <cell r="D1074" t="str">
            <v>SUMAPAZ</v>
          </cell>
          <cell r="E1074" t="str">
            <v>103102</v>
          </cell>
          <cell r="F1074" t="str">
            <v>TAQUECITOS</v>
          </cell>
        </row>
        <row r="1075">
          <cell r="B1075" t="str">
            <v>103103</v>
          </cell>
          <cell r="C1075">
            <v>20</v>
          </cell>
          <cell r="D1075" t="str">
            <v>SUMAPAZ</v>
          </cell>
          <cell r="E1075" t="str">
            <v>103103</v>
          </cell>
          <cell r="F1075" t="str">
            <v>SANTA ROSA BAJA</v>
          </cell>
        </row>
        <row r="1076">
          <cell r="B1076" t="str">
            <v>103104</v>
          </cell>
          <cell r="C1076">
            <v>20</v>
          </cell>
          <cell r="D1076" t="str">
            <v>SUMAPAZ</v>
          </cell>
          <cell r="E1076" t="str">
            <v>103104</v>
          </cell>
          <cell r="F1076" t="str">
            <v>LAS ANIMAS</v>
          </cell>
        </row>
        <row r="1077">
          <cell r="B1077" t="str">
            <v>103105</v>
          </cell>
          <cell r="C1077">
            <v>20</v>
          </cell>
          <cell r="D1077" t="str">
            <v>SUMAPAZ</v>
          </cell>
          <cell r="E1077" t="str">
            <v>103105</v>
          </cell>
          <cell r="F1077" t="str">
            <v>LAS AURAS</v>
          </cell>
        </row>
        <row r="1078">
          <cell r="B1078" t="str">
            <v>103106</v>
          </cell>
          <cell r="C1078">
            <v>20</v>
          </cell>
          <cell r="D1078" t="str">
            <v>SUMAPAZ</v>
          </cell>
          <cell r="E1078" t="str">
            <v>103106</v>
          </cell>
          <cell r="F1078" t="str">
            <v>NAZARETH</v>
          </cell>
        </row>
        <row r="1079">
          <cell r="B1079" t="str">
            <v>103107</v>
          </cell>
          <cell r="C1079">
            <v>20</v>
          </cell>
          <cell r="D1079" t="str">
            <v>SUMAPAZ</v>
          </cell>
          <cell r="E1079" t="str">
            <v>103107</v>
          </cell>
          <cell r="F1079" t="str">
            <v>LAS PALMAS</v>
          </cell>
        </row>
        <row r="1080">
          <cell r="B1080" t="str">
            <v>103108</v>
          </cell>
          <cell r="C1080">
            <v>20</v>
          </cell>
          <cell r="D1080" t="str">
            <v>SUMAPAZ</v>
          </cell>
          <cell r="E1080" t="str">
            <v>103108</v>
          </cell>
          <cell r="F1080" t="str">
            <v>LOS RIOS</v>
          </cell>
        </row>
        <row r="1081">
          <cell r="B1081" t="str">
            <v>103109</v>
          </cell>
          <cell r="C1081">
            <v>20</v>
          </cell>
          <cell r="D1081" t="str">
            <v>SUMAPAZ</v>
          </cell>
          <cell r="E1081" t="str">
            <v>103109</v>
          </cell>
          <cell r="F1081" t="str">
            <v>LAS SOPAS</v>
          </cell>
        </row>
        <row r="1082">
          <cell r="B1082" t="str">
            <v>103201</v>
          </cell>
          <cell r="C1082">
            <v>20</v>
          </cell>
          <cell r="D1082" t="str">
            <v>SUMAPAZ</v>
          </cell>
          <cell r="E1082" t="str">
            <v>103201</v>
          </cell>
          <cell r="F1082" t="str">
            <v>BETANIA</v>
          </cell>
        </row>
        <row r="1083">
          <cell r="B1083" t="str">
            <v>103202</v>
          </cell>
          <cell r="C1083">
            <v>20</v>
          </cell>
          <cell r="D1083" t="str">
            <v>SUMAPAZ</v>
          </cell>
          <cell r="E1083" t="str">
            <v>103202</v>
          </cell>
          <cell r="F1083" t="str">
            <v>EL ITSMO</v>
          </cell>
        </row>
        <row r="1084">
          <cell r="B1084" t="str">
            <v>103203</v>
          </cell>
          <cell r="C1084">
            <v>20</v>
          </cell>
          <cell r="D1084" t="str">
            <v>SUMAPAZ</v>
          </cell>
          <cell r="E1084" t="str">
            <v>103203</v>
          </cell>
          <cell r="F1084" t="str">
            <v>EL TABACO</v>
          </cell>
        </row>
        <row r="1085">
          <cell r="B1085" t="str">
            <v>103204</v>
          </cell>
          <cell r="C1085">
            <v>20</v>
          </cell>
          <cell r="D1085" t="str">
            <v>SUMAPAZ</v>
          </cell>
          <cell r="E1085" t="str">
            <v>103204</v>
          </cell>
          <cell r="F1085" t="str">
            <v>LAGUNA VERDE</v>
          </cell>
        </row>
        <row r="1086">
          <cell r="B1086" t="str">
            <v>103205</v>
          </cell>
          <cell r="C1086">
            <v>20</v>
          </cell>
          <cell r="D1086" t="str">
            <v>SUMAPAZ</v>
          </cell>
          <cell r="E1086" t="str">
            <v>103205</v>
          </cell>
          <cell r="F1086" t="str">
            <v>RAIZAL</v>
          </cell>
        </row>
        <row r="1087">
          <cell r="B1087" t="str">
            <v>103206</v>
          </cell>
          <cell r="C1087">
            <v>20</v>
          </cell>
          <cell r="D1087" t="str">
            <v>SUMAPAZ</v>
          </cell>
          <cell r="E1087" t="str">
            <v>103206</v>
          </cell>
          <cell r="F1087" t="str">
            <v>PENALISA</v>
          </cell>
        </row>
        <row r="1088">
          <cell r="B1088" t="str">
            <v>104102</v>
          </cell>
          <cell r="C1088">
            <v>19</v>
          </cell>
          <cell r="D1088" t="str">
            <v>CIUDAD BOLIVAR</v>
          </cell>
          <cell r="E1088" t="str">
            <v>104102</v>
          </cell>
          <cell r="F1088" t="str">
            <v>PASQUILLITA</v>
          </cell>
        </row>
        <row r="1089">
          <cell r="B1089" t="str">
            <v>104104</v>
          </cell>
          <cell r="C1089">
            <v>19</v>
          </cell>
          <cell r="D1089" t="str">
            <v>CIUDAD BOLIVAR</v>
          </cell>
          <cell r="E1089" t="str">
            <v>104104</v>
          </cell>
          <cell r="F1089" t="str">
            <v>PASQUILLA</v>
          </cell>
        </row>
        <row r="1090">
          <cell r="B1090" t="str">
            <v>104107</v>
          </cell>
          <cell r="C1090">
            <v>19</v>
          </cell>
          <cell r="D1090" t="str">
            <v>CIUDAD BOLIVAR</v>
          </cell>
          <cell r="E1090" t="str">
            <v>104107</v>
          </cell>
          <cell r="F1090" t="str">
            <v>BELLA FLOR SUR</v>
          </cell>
        </row>
        <row r="1091">
          <cell r="B1091" t="str">
            <v>104108</v>
          </cell>
          <cell r="C1091">
            <v>19</v>
          </cell>
          <cell r="D1091" t="str">
            <v>CIUDAD BOLIVAR</v>
          </cell>
          <cell r="E1091" t="str">
            <v>104108</v>
          </cell>
          <cell r="F1091" t="str">
            <v>LAS MERCEDES</v>
          </cell>
        </row>
        <row r="1092">
          <cell r="B1092" t="str">
            <v>104110</v>
          </cell>
          <cell r="C1092">
            <v>19</v>
          </cell>
          <cell r="D1092" t="str">
            <v>CIUDAD BOLIVAR</v>
          </cell>
          <cell r="E1092" t="str">
            <v>104110</v>
          </cell>
          <cell r="F1092" t="str">
            <v>QUIBA BAJO</v>
          </cell>
        </row>
        <row r="1093">
          <cell r="B1093" t="str">
            <v>104112</v>
          </cell>
          <cell r="C1093">
            <v>19</v>
          </cell>
          <cell r="D1093" t="str">
            <v>CIUDAD BOLIVAR</v>
          </cell>
          <cell r="E1093" t="str">
            <v>104112</v>
          </cell>
          <cell r="F1093" t="str">
            <v>SANTA ROSA</v>
          </cell>
        </row>
        <row r="1094">
          <cell r="B1094" t="str">
            <v>104113</v>
          </cell>
          <cell r="C1094">
            <v>19</v>
          </cell>
          <cell r="D1094" t="str">
            <v>CIUDAD BOLIVAR</v>
          </cell>
          <cell r="E1094" t="str">
            <v>104113</v>
          </cell>
          <cell r="F1094" t="str">
            <v>SANTA BARBARA</v>
          </cell>
        </row>
        <row r="1095">
          <cell r="B1095" t="str">
            <v>104114</v>
          </cell>
          <cell r="C1095">
            <v>19</v>
          </cell>
          <cell r="D1095" t="str">
            <v>CIUDAD BOLIVAR</v>
          </cell>
          <cell r="E1095" t="str">
            <v>104114</v>
          </cell>
          <cell r="F1095" t="str">
            <v>QUIBA ALTO</v>
          </cell>
        </row>
        <row r="1096">
          <cell r="B1096" t="str">
            <v>104118</v>
          </cell>
          <cell r="C1096">
            <v>19</v>
          </cell>
          <cell r="D1096" t="str">
            <v>CIUDAD BOLIVAR</v>
          </cell>
          <cell r="E1096" t="str">
            <v>104118</v>
          </cell>
          <cell r="F1096" t="str">
            <v>CIUDAD BOLIVAR RURAL III</v>
          </cell>
        </row>
        <row r="1097">
          <cell r="B1097" t="str">
            <v>104119</v>
          </cell>
          <cell r="C1097">
            <v>19</v>
          </cell>
          <cell r="D1097" t="str">
            <v>CIUDAD BOLIVAR</v>
          </cell>
          <cell r="E1097" t="str">
            <v>104119</v>
          </cell>
          <cell r="F1097" t="str">
            <v>CIUDAD BOLIVAR RURAL I</v>
          </cell>
        </row>
        <row r="1098">
          <cell r="B1098" t="str">
            <v>104127</v>
          </cell>
          <cell r="C1098">
            <v>19</v>
          </cell>
          <cell r="D1098" t="str">
            <v>CIUDAD BOLIVAR</v>
          </cell>
          <cell r="E1098" t="str">
            <v>104127</v>
          </cell>
          <cell r="F1098" t="str">
            <v>EL MOCHUELO IV</v>
          </cell>
        </row>
        <row r="1099">
          <cell r="B1099" t="str">
            <v>104128</v>
          </cell>
          <cell r="C1099">
            <v>19</v>
          </cell>
          <cell r="D1099" t="str">
            <v>CIUDAD BOLIVAR</v>
          </cell>
          <cell r="E1099" t="str">
            <v>104128</v>
          </cell>
          <cell r="F1099" t="str">
            <v>EL MOCHUELO III</v>
          </cell>
        </row>
        <row r="1100">
          <cell r="B1100" t="str">
            <v>104129</v>
          </cell>
          <cell r="C1100">
            <v>19</v>
          </cell>
          <cell r="D1100" t="str">
            <v>CIUDAD BOLIVAR</v>
          </cell>
          <cell r="E1100" t="str">
            <v>104129</v>
          </cell>
          <cell r="F1100" t="str">
            <v>EL MOCHUELO II</v>
          </cell>
        </row>
        <row r="1101">
          <cell r="B1101" t="str">
            <v>104130</v>
          </cell>
          <cell r="C1101">
            <v>19</v>
          </cell>
          <cell r="D1101" t="str">
            <v>CIUDAD BOLIVAR</v>
          </cell>
          <cell r="E1101" t="str">
            <v>104130</v>
          </cell>
          <cell r="F1101" t="str">
            <v>BRAZUELOS OCCIDENTAL RURAL</v>
          </cell>
        </row>
        <row r="1102">
          <cell r="B1102" t="str">
            <v>104131</v>
          </cell>
          <cell r="C1102">
            <v>19</v>
          </cell>
          <cell r="D1102" t="str">
            <v>CIUDAD BOLIVAR</v>
          </cell>
          <cell r="E1102" t="str">
            <v>104131</v>
          </cell>
          <cell r="F1102" t="str">
            <v>MOCHUELO ALTO RURAL</v>
          </cell>
        </row>
        <row r="1103">
          <cell r="B1103" t="str">
            <v>105103</v>
          </cell>
          <cell r="C1103">
            <v>8</v>
          </cell>
          <cell r="D1103" t="str">
            <v>KENNEDY</v>
          </cell>
          <cell r="E1103" t="str">
            <v>105103</v>
          </cell>
          <cell r="F1103" t="str">
            <v>SAN PEDRO</v>
          </cell>
        </row>
        <row r="1104">
          <cell r="B1104" t="str">
            <v>105104</v>
          </cell>
          <cell r="C1104">
            <v>9</v>
          </cell>
          <cell r="D1104" t="str">
            <v>FONTIBON</v>
          </cell>
          <cell r="E1104" t="str">
            <v>105104</v>
          </cell>
          <cell r="F1104" t="str">
            <v>EL TINTAL</v>
          </cell>
        </row>
        <row r="1105">
          <cell r="B1105" t="str">
            <v>105105</v>
          </cell>
          <cell r="C1105">
            <v>8</v>
          </cell>
          <cell r="D1105" t="str">
            <v>KENNEDY</v>
          </cell>
          <cell r="E1105" t="str">
            <v>105105</v>
          </cell>
          <cell r="F1105" t="str">
            <v>VEREDA EL TINTAL RURAL</v>
          </cell>
        </row>
        <row r="1106">
          <cell r="B1106" t="str">
            <v>105203</v>
          </cell>
          <cell r="C1106">
            <v>8</v>
          </cell>
          <cell r="D1106" t="str">
            <v>KENNEDY</v>
          </cell>
          <cell r="E1106" t="str">
            <v>105203</v>
          </cell>
          <cell r="F1106" t="str">
            <v>OSORIO II</v>
          </cell>
        </row>
        <row r="1107">
          <cell r="B1107" t="str">
            <v>105210</v>
          </cell>
          <cell r="C1107">
            <v>7</v>
          </cell>
          <cell r="D1107" t="str">
            <v>BOSA</v>
          </cell>
          <cell r="E1107" t="str">
            <v>105210</v>
          </cell>
          <cell r="F1107" t="str">
            <v>OSORIO X</v>
          </cell>
        </row>
        <row r="1108">
          <cell r="B1108" t="str">
            <v>105223</v>
          </cell>
          <cell r="C1108">
            <v>7</v>
          </cell>
          <cell r="D1108" t="str">
            <v>BOSA</v>
          </cell>
          <cell r="E1108" t="str">
            <v>105223</v>
          </cell>
          <cell r="F1108" t="str">
            <v>OSORIO XXIII</v>
          </cell>
        </row>
        <row r="1109">
          <cell r="B1109" t="str">
            <v>105314</v>
          </cell>
          <cell r="C1109">
            <v>7</v>
          </cell>
          <cell r="D1109" t="str">
            <v>BOSA</v>
          </cell>
          <cell r="E1109" t="str">
            <v>105314</v>
          </cell>
          <cell r="F1109" t="str">
            <v>EL CORZO RURAL</v>
          </cell>
        </row>
        <row r="1110">
          <cell r="B1110" t="str">
            <v>105318</v>
          </cell>
          <cell r="C1110">
            <v>7</v>
          </cell>
          <cell r="D1110" t="str">
            <v>BOSA</v>
          </cell>
          <cell r="E1110" t="str">
            <v>105318</v>
          </cell>
          <cell r="F1110" t="str">
            <v>S.BERNARDINO XVIII</v>
          </cell>
        </row>
        <row r="1111">
          <cell r="B1111" t="str">
            <v>105325</v>
          </cell>
          <cell r="C1111">
            <v>7</v>
          </cell>
          <cell r="D1111" t="str">
            <v>BOSA</v>
          </cell>
          <cell r="E1111" t="str">
            <v>105325</v>
          </cell>
          <cell r="F1111" t="str">
            <v>SAN BERNARDINO XXV</v>
          </cell>
        </row>
        <row r="1112">
          <cell r="B1112" t="str">
            <v>105401</v>
          </cell>
          <cell r="C1112">
            <v>9</v>
          </cell>
          <cell r="D1112" t="str">
            <v>FONTIBON</v>
          </cell>
          <cell r="E1112" t="str">
            <v>105401</v>
          </cell>
          <cell r="F1112" t="str">
            <v>EL CHANCO RURAL II</v>
          </cell>
        </row>
        <row r="1113">
          <cell r="B1113" t="str">
            <v>105402</v>
          </cell>
          <cell r="C1113">
            <v>9</v>
          </cell>
          <cell r="D1113" t="str">
            <v>FONTIBON</v>
          </cell>
          <cell r="E1113" t="str">
            <v>105402</v>
          </cell>
          <cell r="F1113" t="str">
            <v>CHARCO RURAL</v>
          </cell>
        </row>
        <row r="1114">
          <cell r="B1114" t="str">
            <v>105403</v>
          </cell>
          <cell r="C1114">
            <v>9</v>
          </cell>
          <cell r="D1114" t="str">
            <v>FONTIBON</v>
          </cell>
          <cell r="E1114" t="str">
            <v>105403</v>
          </cell>
          <cell r="F1114" t="str">
            <v>EL CHANCO RURAL III</v>
          </cell>
        </row>
        <row r="1115">
          <cell r="B1115" t="str">
            <v>106201</v>
          </cell>
          <cell r="C1115">
            <v>10</v>
          </cell>
          <cell r="D1115" t="str">
            <v>ENGATIVA</v>
          </cell>
          <cell r="E1115" t="str">
            <v>106201</v>
          </cell>
          <cell r="F1115" t="str">
            <v>EL PANTANO</v>
          </cell>
        </row>
        <row r="1116">
          <cell r="B1116" t="str">
            <v>106301</v>
          </cell>
          <cell r="C1116">
            <v>10</v>
          </cell>
          <cell r="D1116" t="str">
            <v>ENGATIVA</v>
          </cell>
          <cell r="E1116" t="str">
            <v>106301</v>
          </cell>
          <cell r="F1116" t="str">
            <v>ENGATIVA EL DORADO</v>
          </cell>
        </row>
        <row r="1117">
          <cell r="B1117" t="str">
            <v>107101</v>
          </cell>
          <cell r="C1117">
            <v>11</v>
          </cell>
          <cell r="D1117" t="str">
            <v>SUBA</v>
          </cell>
          <cell r="E1117" t="str">
            <v>107101</v>
          </cell>
          <cell r="F1117" t="str">
            <v>SAN SEBASTIAN</v>
          </cell>
        </row>
        <row r="1118">
          <cell r="B1118" t="str">
            <v>107102</v>
          </cell>
          <cell r="C1118">
            <v>11</v>
          </cell>
          <cell r="D1118" t="str">
            <v>SUBA</v>
          </cell>
          <cell r="E1118" t="str">
            <v>107102</v>
          </cell>
          <cell r="F1118" t="str">
            <v>CASABLANCA SUBA</v>
          </cell>
        </row>
        <row r="1119">
          <cell r="B1119" t="str">
            <v>107106</v>
          </cell>
          <cell r="C1119">
            <v>11</v>
          </cell>
          <cell r="D1119" t="str">
            <v>SUBA</v>
          </cell>
          <cell r="E1119" t="str">
            <v>107106</v>
          </cell>
          <cell r="F1119" t="str">
            <v>TUNA RURAL</v>
          </cell>
        </row>
        <row r="1120">
          <cell r="B1120" t="str">
            <v>107107</v>
          </cell>
          <cell r="C1120">
            <v>11</v>
          </cell>
          <cell r="D1120" t="str">
            <v>SUBA</v>
          </cell>
          <cell r="E1120" t="str">
            <v>107107</v>
          </cell>
          <cell r="F1120" t="str">
            <v>LAS MERCEDES SUBA RURAL</v>
          </cell>
        </row>
        <row r="1121">
          <cell r="B1121" t="str">
            <v>107109</v>
          </cell>
          <cell r="C1121">
            <v>11</v>
          </cell>
          <cell r="D1121" t="str">
            <v>SUBA</v>
          </cell>
          <cell r="E1121" t="str">
            <v>107109</v>
          </cell>
          <cell r="F1121" t="str">
            <v>BARAJAS NORTE</v>
          </cell>
        </row>
        <row r="1122">
          <cell r="B1122" t="str">
            <v>107110</v>
          </cell>
          <cell r="C1122">
            <v>11</v>
          </cell>
          <cell r="D1122" t="str">
            <v>SUBA</v>
          </cell>
          <cell r="E1122" t="str">
            <v>107110</v>
          </cell>
          <cell r="F1122" t="str">
            <v>CASABLANCA SUBA I</v>
          </cell>
        </row>
        <row r="1123">
          <cell r="B1123" t="str">
            <v>107111</v>
          </cell>
          <cell r="C1123">
            <v>11</v>
          </cell>
          <cell r="D1123" t="str">
            <v>SUBA</v>
          </cell>
          <cell r="E1123" t="str">
            <v>107111</v>
          </cell>
          <cell r="F1123" t="str">
            <v>CASABLANCA SUBA II</v>
          </cell>
        </row>
        <row r="1124">
          <cell r="B1124" t="str">
            <v>107112</v>
          </cell>
          <cell r="C1124">
            <v>11</v>
          </cell>
          <cell r="D1124" t="str">
            <v>SUBA</v>
          </cell>
          <cell r="E1124" t="str">
            <v>107112</v>
          </cell>
          <cell r="F1124" t="str">
            <v>LA LOMITA</v>
          </cell>
        </row>
        <row r="1125">
          <cell r="B1125" t="str">
            <v>108101</v>
          </cell>
          <cell r="C1125">
            <v>1</v>
          </cell>
          <cell r="D1125" t="str">
            <v>USAQUEN</v>
          </cell>
          <cell r="E1125" t="str">
            <v>108101</v>
          </cell>
          <cell r="F1125" t="str">
            <v>TORCA RURAL I</v>
          </cell>
        </row>
        <row r="1126">
          <cell r="B1126" t="str">
            <v>108102</v>
          </cell>
          <cell r="C1126">
            <v>1</v>
          </cell>
          <cell r="D1126" t="str">
            <v>USAQUEN</v>
          </cell>
          <cell r="E1126" t="str">
            <v>108102</v>
          </cell>
          <cell r="F1126" t="str">
            <v>TIBABITA RURAL</v>
          </cell>
        </row>
        <row r="1127">
          <cell r="B1127" t="str">
            <v>108103</v>
          </cell>
          <cell r="C1127">
            <v>1</v>
          </cell>
          <cell r="D1127" t="str">
            <v>USAQUEN</v>
          </cell>
          <cell r="E1127" t="str">
            <v>108103</v>
          </cell>
          <cell r="F1127" t="str">
            <v>BARRANCAS ORIENTAL RURAL</v>
          </cell>
        </row>
        <row r="1128">
          <cell r="B1128" t="str">
            <v>108104</v>
          </cell>
          <cell r="C1128">
            <v>1</v>
          </cell>
          <cell r="D1128" t="str">
            <v>USAQUEN</v>
          </cell>
          <cell r="E1128" t="str">
            <v>108104</v>
          </cell>
          <cell r="F1128" t="str">
            <v>PARAMO</v>
          </cell>
        </row>
        <row r="1129">
          <cell r="B1129" t="str">
            <v>108108</v>
          </cell>
          <cell r="C1129">
            <v>1</v>
          </cell>
          <cell r="D1129" t="str">
            <v>USAQUEN</v>
          </cell>
          <cell r="E1129" t="str">
            <v>108108</v>
          </cell>
          <cell r="F1129" t="str">
            <v>PARAMO II</v>
          </cell>
        </row>
        <row r="1130">
          <cell r="B1130" t="str">
            <v>108109</v>
          </cell>
          <cell r="C1130">
            <v>1</v>
          </cell>
          <cell r="D1130" t="str">
            <v>USAQUEN</v>
          </cell>
          <cell r="E1130" t="str">
            <v>108109</v>
          </cell>
          <cell r="F1130" t="str">
            <v>PARAMO I</v>
          </cell>
        </row>
        <row r="1131">
          <cell r="B1131" t="str">
            <v>108110</v>
          </cell>
          <cell r="C1131">
            <v>1</v>
          </cell>
          <cell r="D1131" t="str">
            <v>USAQUEN</v>
          </cell>
          <cell r="E1131" t="str">
            <v>108110</v>
          </cell>
          <cell r="F1131" t="str">
            <v>TORCA RURAL II</v>
          </cell>
        </row>
        <row r="1132">
          <cell r="B1132" t="str">
            <v>108111</v>
          </cell>
          <cell r="C1132">
            <v>1</v>
          </cell>
          <cell r="D1132" t="str">
            <v>USAQUEN</v>
          </cell>
          <cell r="E1132" t="str">
            <v>108111</v>
          </cell>
          <cell r="F1132" t="str">
            <v>TIBABITA RURAL I</v>
          </cell>
        </row>
        <row r="1133">
          <cell r="B1133" t="str">
            <v>108112</v>
          </cell>
          <cell r="C1133">
            <v>1</v>
          </cell>
          <cell r="D1133" t="str">
            <v>USAQUEN</v>
          </cell>
          <cell r="E1133" t="str">
            <v>108112</v>
          </cell>
          <cell r="F1133" t="str">
            <v>PARAMO II RURAL</v>
          </cell>
        </row>
        <row r="1134">
          <cell r="B1134" t="str">
            <v>108113</v>
          </cell>
          <cell r="C1134">
            <v>1</v>
          </cell>
          <cell r="D1134" t="str">
            <v>USAQUEN</v>
          </cell>
          <cell r="E1134" t="str">
            <v>108113</v>
          </cell>
          <cell r="F1134" t="str">
            <v>BOSQUE DE PINOS III RURAL</v>
          </cell>
        </row>
        <row r="1135">
          <cell r="B1135" t="str">
            <v>108114</v>
          </cell>
          <cell r="C1135">
            <v>1</v>
          </cell>
          <cell r="D1135" t="str">
            <v>USAQUEN</v>
          </cell>
          <cell r="E1135" t="str">
            <v>108114</v>
          </cell>
          <cell r="F1135" t="str">
            <v>PARAMO III RURAL</v>
          </cell>
        </row>
        <row r="1136">
          <cell r="B1136" t="str">
            <v>109101</v>
          </cell>
          <cell r="C1136">
            <v>20</v>
          </cell>
          <cell r="D1136" t="str">
            <v>SUMAPAZ</v>
          </cell>
          <cell r="E1136" t="str">
            <v>109101</v>
          </cell>
          <cell r="F1136" t="str">
            <v>EL TOLDO</v>
          </cell>
        </row>
        <row r="1137">
          <cell r="B1137" t="str">
            <v>109102</v>
          </cell>
          <cell r="C1137">
            <v>20</v>
          </cell>
          <cell r="D1137" t="str">
            <v>SUMAPAZ</v>
          </cell>
          <cell r="E1137" t="str">
            <v>109102</v>
          </cell>
          <cell r="F1137" t="str">
            <v>SAN ANTONIO</v>
          </cell>
        </row>
        <row r="1138">
          <cell r="B1138" t="str">
            <v>109103</v>
          </cell>
          <cell r="C1138">
            <v>20</v>
          </cell>
          <cell r="D1138" t="str">
            <v>SUMAPAZ</v>
          </cell>
          <cell r="E1138" t="str">
            <v>109103</v>
          </cell>
          <cell r="F1138" t="str">
            <v>LAS VEGAS</v>
          </cell>
        </row>
        <row r="1139">
          <cell r="B1139" t="str">
            <v>109104</v>
          </cell>
          <cell r="C1139">
            <v>20</v>
          </cell>
          <cell r="D1139" t="str">
            <v>SUMAPAZ</v>
          </cell>
          <cell r="E1139" t="str">
            <v>109104</v>
          </cell>
          <cell r="F1139" t="str">
            <v>SAN JUAN</v>
          </cell>
        </row>
        <row r="1140">
          <cell r="B1140" t="str">
            <v>109105</v>
          </cell>
          <cell r="C1140">
            <v>20</v>
          </cell>
          <cell r="D1140" t="str">
            <v>SUMAPAZ</v>
          </cell>
          <cell r="E1140" t="str">
            <v>109105</v>
          </cell>
          <cell r="F1140" t="str">
            <v>SANTO DOMINGO</v>
          </cell>
        </row>
        <row r="1141">
          <cell r="B1141" t="str">
            <v>109106</v>
          </cell>
          <cell r="C1141">
            <v>20</v>
          </cell>
          <cell r="D1141" t="str">
            <v>SUMAPAZ</v>
          </cell>
          <cell r="E1141" t="str">
            <v>109106</v>
          </cell>
          <cell r="F1141" t="str">
            <v>LA UNION</v>
          </cell>
        </row>
        <row r="1142">
          <cell r="B1142" t="str">
            <v>109107</v>
          </cell>
          <cell r="C1142">
            <v>20</v>
          </cell>
          <cell r="D1142" t="str">
            <v>SUMAPAZ</v>
          </cell>
          <cell r="E1142" t="str">
            <v>109107</v>
          </cell>
          <cell r="F1142" t="str">
            <v>CHORRERAS</v>
          </cell>
        </row>
        <row r="1143">
          <cell r="B1143" t="str">
            <v>109109</v>
          </cell>
          <cell r="C1143">
            <v>20</v>
          </cell>
          <cell r="D1143" t="str">
            <v>SUMAPAZ</v>
          </cell>
          <cell r="E1143" t="str">
            <v>109109</v>
          </cell>
          <cell r="F1143" t="str">
            <v>TUNAL ALTO</v>
          </cell>
        </row>
        <row r="1144">
          <cell r="B1144" t="str">
            <v>109110</v>
          </cell>
          <cell r="C1144">
            <v>20</v>
          </cell>
          <cell r="D1144" t="str">
            <v>SUMAPAZ</v>
          </cell>
          <cell r="E1144" t="str">
            <v>109110</v>
          </cell>
          <cell r="F1144" t="str">
            <v>CONCEPCION</v>
          </cell>
        </row>
        <row r="1145">
          <cell r="B1145" t="str">
            <v>109111</v>
          </cell>
          <cell r="C1145">
            <v>20</v>
          </cell>
          <cell r="D1145" t="str">
            <v>SUMAPAZ</v>
          </cell>
          <cell r="E1145" t="str">
            <v>109111</v>
          </cell>
          <cell r="F1145" t="str">
            <v>SAN JOSE</v>
          </cell>
        </row>
        <row r="1146">
          <cell r="B1146" t="str">
            <v>109112</v>
          </cell>
          <cell r="C1146">
            <v>20</v>
          </cell>
          <cell r="D1146" t="str">
            <v>SUMAPAZ</v>
          </cell>
          <cell r="E1146" t="str">
            <v>109112</v>
          </cell>
          <cell r="F1146" t="str">
            <v>CAPITOLIO</v>
          </cell>
        </row>
        <row r="1147">
          <cell r="B1147" t="str">
            <v>109113</v>
          </cell>
          <cell r="C1147">
            <v>20</v>
          </cell>
          <cell r="D1147" t="str">
            <v>SUMAPAZ</v>
          </cell>
          <cell r="E1147" t="str">
            <v>109113</v>
          </cell>
          <cell r="F1147" t="str">
            <v>LAGUNITAS</v>
          </cell>
        </row>
        <row r="1148">
          <cell r="B1148" t="str">
            <v>109114</v>
          </cell>
          <cell r="C1148">
            <v>20</v>
          </cell>
          <cell r="D1148" t="str">
            <v>SUMAPAZ</v>
          </cell>
          <cell r="E1148" t="str">
            <v>109114</v>
          </cell>
          <cell r="F1148" t="str">
            <v>TUNAL BAJO</v>
          </cell>
        </row>
        <row r="1149">
          <cell r="B1149" t="str">
            <v>109116</v>
          </cell>
          <cell r="C1149">
            <v>20</v>
          </cell>
          <cell r="D1149" t="str">
            <v>SUMAPAZ</v>
          </cell>
          <cell r="E1149" t="str">
            <v>109116</v>
          </cell>
          <cell r="F1149" t="str">
            <v>NUEVA GRANADA</v>
          </cell>
        </row>
        <row r="1150">
          <cell r="B1150" t="str">
            <v>201105</v>
          </cell>
          <cell r="C1150">
            <v>2</v>
          </cell>
          <cell r="D1150" t="str">
            <v>CHAPINERO</v>
          </cell>
          <cell r="E1150" t="str">
            <v>201105</v>
          </cell>
          <cell r="F1150" t="str">
            <v>EL REFUGIO I</v>
          </cell>
        </row>
        <row r="1151">
          <cell r="B1151" t="str">
            <v>201108</v>
          </cell>
          <cell r="C1151">
            <v>2</v>
          </cell>
          <cell r="D1151" t="str">
            <v>CHAPINERO</v>
          </cell>
          <cell r="E1151" t="str">
            <v>201108</v>
          </cell>
          <cell r="F1151" t="str">
            <v>EL REFUGIO II</v>
          </cell>
        </row>
        <row r="1152">
          <cell r="B1152" t="str">
            <v>201109</v>
          </cell>
          <cell r="C1152">
            <v>2</v>
          </cell>
          <cell r="D1152" t="str">
            <v>CHAPINERO</v>
          </cell>
          <cell r="E1152" t="str">
            <v>201109</v>
          </cell>
          <cell r="F1152" t="str">
            <v>INGEMAR I</v>
          </cell>
        </row>
        <row r="1153">
          <cell r="B1153" t="str">
            <v>201110</v>
          </cell>
          <cell r="C1153">
            <v>2</v>
          </cell>
          <cell r="D1153" t="str">
            <v>CHAPINERO</v>
          </cell>
          <cell r="E1153" t="str">
            <v>201110</v>
          </cell>
          <cell r="F1153" t="str">
            <v>INGEMAR ORIENTAL I</v>
          </cell>
        </row>
        <row r="1154">
          <cell r="B1154" t="str">
            <v>201302</v>
          </cell>
          <cell r="C1154">
            <v>4</v>
          </cell>
          <cell r="D1154" t="str">
            <v>SAN CRISTOBAL</v>
          </cell>
          <cell r="E1154" t="str">
            <v>201302</v>
          </cell>
          <cell r="F1154" t="str">
            <v>EL TRIANGULO</v>
          </cell>
        </row>
        <row r="1155">
          <cell r="B1155" t="str">
            <v>201304</v>
          </cell>
          <cell r="C1155">
            <v>4</v>
          </cell>
          <cell r="D1155" t="str">
            <v>SAN CRISTOBAL</v>
          </cell>
          <cell r="E1155" t="str">
            <v>201304</v>
          </cell>
          <cell r="F1155" t="str">
            <v>AGUAS CLARAS</v>
          </cell>
        </row>
        <row r="1156">
          <cell r="B1156" t="str">
            <v>201306</v>
          </cell>
          <cell r="C1156">
            <v>4</v>
          </cell>
          <cell r="D1156" t="str">
            <v>SAN CRISTOBAL</v>
          </cell>
          <cell r="E1156" t="str">
            <v>201306</v>
          </cell>
          <cell r="F1156" t="str">
            <v>TIBAQUE I</v>
          </cell>
        </row>
        <row r="1157">
          <cell r="B1157" t="str">
            <v>201309</v>
          </cell>
          <cell r="C1157">
            <v>5</v>
          </cell>
          <cell r="D1157" t="str">
            <v>USME</v>
          </cell>
          <cell r="E1157" t="str">
            <v>201309</v>
          </cell>
          <cell r="F1157" t="str">
            <v>TIBAQUE II</v>
          </cell>
        </row>
        <row r="1158">
          <cell r="B1158" t="str">
            <v>201404</v>
          </cell>
          <cell r="C1158">
            <v>3</v>
          </cell>
          <cell r="D1158" t="str">
            <v>SANTA FE</v>
          </cell>
          <cell r="E1158" t="str">
            <v>201404</v>
          </cell>
          <cell r="F1158" t="str">
            <v>LA PEÐA RURAL</v>
          </cell>
        </row>
        <row r="1159">
          <cell r="B1159" t="str">
            <v>201502</v>
          </cell>
          <cell r="C1159">
            <v>2</v>
          </cell>
          <cell r="D1159" t="str">
            <v>CHAPINERO</v>
          </cell>
          <cell r="E1159" t="str">
            <v>201502</v>
          </cell>
          <cell r="F1159" t="str">
            <v>SIBERIA RURAL</v>
          </cell>
        </row>
        <row r="1160">
          <cell r="B1160" t="str">
            <v>201503</v>
          </cell>
          <cell r="C1160">
            <v>2</v>
          </cell>
          <cell r="D1160" t="str">
            <v>CHAPINERO</v>
          </cell>
          <cell r="E1160" t="str">
            <v>201503</v>
          </cell>
          <cell r="F1160" t="str">
            <v>SIBERIA II</v>
          </cell>
        </row>
        <row r="1161">
          <cell r="B1161" t="str">
            <v>202203</v>
          </cell>
          <cell r="C1161">
            <v>5</v>
          </cell>
          <cell r="D1161" t="str">
            <v>USME</v>
          </cell>
          <cell r="E1161" t="str">
            <v>202203</v>
          </cell>
          <cell r="F1161" t="str">
            <v>BOLONIA I</v>
          </cell>
        </row>
        <row r="1162">
          <cell r="B1162" t="str">
            <v>202204</v>
          </cell>
          <cell r="C1162">
            <v>5</v>
          </cell>
          <cell r="D1162" t="str">
            <v>USME</v>
          </cell>
          <cell r="E1162" t="str">
            <v>202204</v>
          </cell>
          <cell r="F1162" t="str">
            <v>LA ESPERANZA SUR I</v>
          </cell>
        </row>
        <row r="1163">
          <cell r="B1163" t="str">
            <v>202309</v>
          </cell>
          <cell r="C1163">
            <v>5</v>
          </cell>
          <cell r="D1163" t="str">
            <v>USME</v>
          </cell>
          <cell r="E1163" t="str">
            <v>202309</v>
          </cell>
          <cell r="F1163" t="str">
            <v>EL BOSQUE SUR ORIENTAL RURAL III</v>
          </cell>
        </row>
        <row r="1164">
          <cell r="B1164" t="str">
            <v>202404</v>
          </cell>
          <cell r="C1164">
            <v>5</v>
          </cell>
          <cell r="D1164" t="str">
            <v>USME</v>
          </cell>
          <cell r="E1164" t="str">
            <v>202404</v>
          </cell>
          <cell r="F1164" t="str">
            <v>SAN FELIPE DE USME RURAL</v>
          </cell>
        </row>
        <row r="1165">
          <cell r="B1165" t="str">
            <v>202410</v>
          </cell>
          <cell r="C1165">
            <v>5</v>
          </cell>
          <cell r="D1165" t="str">
            <v>USME</v>
          </cell>
          <cell r="E1165" t="str">
            <v>202410</v>
          </cell>
          <cell r="F1165" t="str">
            <v>TOCAIMITA ORIENTAL</v>
          </cell>
        </row>
        <row r="1166">
          <cell r="B1166" t="str">
            <v>202502</v>
          </cell>
          <cell r="C1166">
            <v>5</v>
          </cell>
          <cell r="D1166" t="str">
            <v>USME</v>
          </cell>
          <cell r="E1166" t="str">
            <v>202502</v>
          </cell>
          <cell r="F1166" t="str">
            <v>EL UVAL</v>
          </cell>
        </row>
        <row r="1167">
          <cell r="B1167" t="str">
            <v>202506</v>
          </cell>
          <cell r="C1167">
            <v>5</v>
          </cell>
          <cell r="D1167" t="str">
            <v>USME</v>
          </cell>
          <cell r="E1167" t="str">
            <v>202506</v>
          </cell>
          <cell r="F1167" t="str">
            <v>EL NUEVO PORTAL II RURAL</v>
          </cell>
        </row>
        <row r="1168">
          <cell r="B1168" t="str">
            <v>202511</v>
          </cell>
          <cell r="C1168">
            <v>5</v>
          </cell>
          <cell r="D1168" t="str">
            <v>USME</v>
          </cell>
          <cell r="E1168" t="str">
            <v>202511</v>
          </cell>
          <cell r="F1168" t="str">
            <v>PUERTA AL LLANO RURAL</v>
          </cell>
        </row>
        <row r="1169">
          <cell r="B1169" t="str">
            <v>202601</v>
          </cell>
          <cell r="C1169">
            <v>5</v>
          </cell>
          <cell r="D1169" t="str">
            <v>USME</v>
          </cell>
          <cell r="E1169" t="str">
            <v>202601</v>
          </cell>
          <cell r="F1169" t="str">
            <v>CENTRO USME</v>
          </cell>
        </row>
        <row r="1170">
          <cell r="B1170" t="str">
            <v>203106</v>
          </cell>
          <cell r="C1170">
            <v>20</v>
          </cell>
          <cell r="D1170" t="str">
            <v>SUMAPAZ</v>
          </cell>
          <cell r="E1170" t="str">
            <v>203106</v>
          </cell>
          <cell r="F1170" t="str">
            <v>NAZARETH URBANO</v>
          </cell>
        </row>
        <row r="1171">
          <cell r="B1171" t="str">
            <v>204104</v>
          </cell>
          <cell r="C1171">
            <v>19</v>
          </cell>
          <cell r="D1171" t="str">
            <v>CIUDAD BOLIVAR</v>
          </cell>
          <cell r="E1171" t="str">
            <v>204104</v>
          </cell>
          <cell r="F1171" t="str">
            <v>PASQUILLA</v>
          </cell>
        </row>
        <row r="1172">
          <cell r="B1172" t="str">
            <v>204106</v>
          </cell>
          <cell r="C1172">
            <v>19</v>
          </cell>
          <cell r="D1172" t="str">
            <v>CIUDAD BOLIVAR</v>
          </cell>
          <cell r="E1172" t="str">
            <v>204106</v>
          </cell>
          <cell r="F1172" t="str">
            <v>NUEVA ESPERANZA</v>
          </cell>
        </row>
        <row r="1173">
          <cell r="B1173" t="str">
            <v>204107</v>
          </cell>
          <cell r="C1173">
            <v>19</v>
          </cell>
          <cell r="D1173" t="str">
            <v>CIUDAD BOLIVAR</v>
          </cell>
          <cell r="E1173" t="str">
            <v>204107</v>
          </cell>
          <cell r="F1173" t="str">
            <v>EL MIRADOR II</v>
          </cell>
        </row>
        <row r="1174">
          <cell r="B1174" t="str">
            <v>204128</v>
          </cell>
          <cell r="C1174">
            <v>19</v>
          </cell>
          <cell r="D1174" t="str">
            <v>CIUDAD BOLIVAR</v>
          </cell>
          <cell r="E1174" t="str">
            <v>204128</v>
          </cell>
          <cell r="F1174" t="str">
            <v>QUIBA RURAL</v>
          </cell>
        </row>
        <row r="1175">
          <cell r="B1175" t="str">
            <v>204129</v>
          </cell>
          <cell r="C1175">
            <v>19</v>
          </cell>
          <cell r="D1175" t="str">
            <v>CIUDAD BOLIVAR</v>
          </cell>
          <cell r="E1175" t="str">
            <v>204129</v>
          </cell>
          <cell r="F1175" t="str">
            <v>EL MOCHUELO II NORTE</v>
          </cell>
        </row>
        <row r="1176">
          <cell r="B1176" t="str">
            <v>204131</v>
          </cell>
          <cell r="C1176">
            <v>19</v>
          </cell>
          <cell r="D1176" t="str">
            <v>CIUDAD BOLIVAR</v>
          </cell>
          <cell r="E1176" t="str">
            <v>204131</v>
          </cell>
          <cell r="F1176" t="str">
            <v>MOCHUELO ALTO URBANO</v>
          </cell>
        </row>
        <row r="1177">
          <cell r="B1177" t="str">
            <v>204304</v>
          </cell>
          <cell r="C1177">
            <v>19</v>
          </cell>
          <cell r="D1177" t="str">
            <v>CIUDAD BOLIVAR</v>
          </cell>
          <cell r="E1177" t="str">
            <v>204304</v>
          </cell>
          <cell r="F1177" t="str">
            <v>LAGUNITAS</v>
          </cell>
        </row>
        <row r="1178">
          <cell r="B1178" t="str">
            <v>205101</v>
          </cell>
          <cell r="C1178">
            <v>8</v>
          </cell>
          <cell r="D1178" t="str">
            <v>KENNEDY</v>
          </cell>
          <cell r="E1178" t="str">
            <v>205101</v>
          </cell>
          <cell r="F1178" t="str">
            <v>VEREDA EL TINTAL URBANO</v>
          </cell>
        </row>
        <row r="1179">
          <cell r="B1179" t="str">
            <v>205102</v>
          </cell>
          <cell r="C1179">
            <v>9</v>
          </cell>
          <cell r="D1179" t="str">
            <v>FONTIBON</v>
          </cell>
          <cell r="E1179" t="str">
            <v>205102</v>
          </cell>
          <cell r="F1179" t="str">
            <v>VEREDA EL TINTAL</v>
          </cell>
        </row>
        <row r="1180">
          <cell r="B1180" t="str">
            <v>205209</v>
          </cell>
          <cell r="C1180">
            <v>8</v>
          </cell>
          <cell r="D1180" t="str">
            <v>KENNEDY</v>
          </cell>
          <cell r="E1180" t="str">
            <v>205209</v>
          </cell>
          <cell r="F1180" t="str">
            <v>EL JAZMIN</v>
          </cell>
        </row>
        <row r="1181">
          <cell r="B1181" t="str">
            <v>205221</v>
          </cell>
          <cell r="C1181">
            <v>8</v>
          </cell>
          <cell r="D1181" t="str">
            <v>KENNEDY</v>
          </cell>
          <cell r="E1181" t="str">
            <v>205221</v>
          </cell>
          <cell r="F1181" t="str">
            <v>GALAN RURAL</v>
          </cell>
        </row>
        <row r="1182">
          <cell r="B1182" t="str">
            <v>205225</v>
          </cell>
          <cell r="C1182">
            <v>8</v>
          </cell>
          <cell r="D1182" t="str">
            <v>KENNEDY</v>
          </cell>
          <cell r="E1182" t="str">
            <v>205225</v>
          </cell>
          <cell r="F1182" t="str">
            <v>LAS ACACIAS RURAL</v>
          </cell>
        </row>
        <row r="1183">
          <cell r="B1183" t="str">
            <v>205308</v>
          </cell>
          <cell r="C1183">
            <v>7</v>
          </cell>
          <cell r="D1183" t="str">
            <v>BOSA</v>
          </cell>
          <cell r="E1183" t="str">
            <v>205308</v>
          </cell>
          <cell r="F1183" t="str">
            <v>CANAVERALEJO RURAL</v>
          </cell>
        </row>
        <row r="1184">
          <cell r="B1184" t="str">
            <v>205316</v>
          </cell>
          <cell r="C1184">
            <v>7</v>
          </cell>
          <cell r="D1184" t="str">
            <v>BOSA</v>
          </cell>
          <cell r="E1184" t="str">
            <v>205316</v>
          </cell>
          <cell r="F1184" t="str">
            <v>VILLA EMMA</v>
          </cell>
        </row>
        <row r="1185">
          <cell r="B1185" t="str">
            <v>205318</v>
          </cell>
          <cell r="C1185">
            <v>7</v>
          </cell>
          <cell r="D1185" t="str">
            <v>BOSA</v>
          </cell>
          <cell r="E1185" t="str">
            <v>205318</v>
          </cell>
          <cell r="F1185" t="str">
            <v>SAN BERNARDINO XVIII</v>
          </cell>
        </row>
        <row r="1186">
          <cell r="B1186" t="str">
            <v>205319</v>
          </cell>
          <cell r="C1186">
            <v>7</v>
          </cell>
          <cell r="D1186" t="str">
            <v>BOSA</v>
          </cell>
          <cell r="E1186" t="str">
            <v>205319</v>
          </cell>
          <cell r="F1186" t="str">
            <v>SAN BERNARDINO XIX</v>
          </cell>
        </row>
        <row r="1187">
          <cell r="B1187" t="str">
            <v>205320</v>
          </cell>
          <cell r="C1187">
            <v>7</v>
          </cell>
          <cell r="D1187" t="str">
            <v>BOSA</v>
          </cell>
          <cell r="E1187" t="str">
            <v>205320</v>
          </cell>
          <cell r="F1187" t="str">
            <v>EL REMANSO</v>
          </cell>
        </row>
        <row r="1188">
          <cell r="B1188" t="str">
            <v>205322</v>
          </cell>
          <cell r="C1188">
            <v>7</v>
          </cell>
          <cell r="D1188" t="str">
            <v>BOSA</v>
          </cell>
          <cell r="E1188" t="str">
            <v>205322</v>
          </cell>
          <cell r="F1188" t="str">
            <v>CAMPO VERDE</v>
          </cell>
        </row>
        <row r="1189">
          <cell r="B1189" t="str">
            <v>205401</v>
          </cell>
          <cell r="C1189">
            <v>9</v>
          </cell>
          <cell r="D1189" t="str">
            <v>FONTIBON</v>
          </cell>
          <cell r="E1189" t="str">
            <v>205401</v>
          </cell>
          <cell r="F1189" t="str">
            <v>EL CHANCO II</v>
          </cell>
        </row>
        <row r="1190">
          <cell r="B1190" t="str">
            <v>205402</v>
          </cell>
          <cell r="C1190">
            <v>9</v>
          </cell>
          <cell r="D1190" t="str">
            <v>FONTIBON</v>
          </cell>
          <cell r="E1190" t="str">
            <v>205402</v>
          </cell>
          <cell r="F1190" t="str">
            <v>EL CHARCO</v>
          </cell>
        </row>
        <row r="1191">
          <cell r="B1191" t="str">
            <v>208101</v>
          </cell>
          <cell r="C1191">
            <v>1</v>
          </cell>
          <cell r="D1191" t="str">
            <v>USAQUEN</v>
          </cell>
          <cell r="E1191" t="str">
            <v>208101</v>
          </cell>
          <cell r="F1191" t="str">
            <v>PARAMO IV</v>
          </cell>
        </row>
        <row r="1192">
          <cell r="B1192" t="str">
            <v>208103</v>
          </cell>
          <cell r="C1192">
            <v>1</v>
          </cell>
          <cell r="D1192" t="str">
            <v>USAQUEN</v>
          </cell>
          <cell r="E1192" t="str">
            <v>208103</v>
          </cell>
          <cell r="F1192" t="str">
            <v>BARRANCAS ORIENTAL</v>
          </cell>
        </row>
        <row r="1193">
          <cell r="B1193" t="str">
            <v>208104</v>
          </cell>
          <cell r="C1193">
            <v>1</v>
          </cell>
          <cell r="D1193" t="str">
            <v>USAQUEN</v>
          </cell>
          <cell r="E1193" t="str">
            <v>208104</v>
          </cell>
          <cell r="F1193" t="str">
            <v>PARAMO URBANO</v>
          </cell>
        </row>
        <row r="1194">
          <cell r="B1194" t="str">
            <v>208107</v>
          </cell>
          <cell r="C1194">
            <v>2</v>
          </cell>
          <cell r="D1194" t="str">
            <v>CHAPINERO</v>
          </cell>
          <cell r="E1194" t="str">
            <v>208107</v>
          </cell>
          <cell r="F1194" t="str">
            <v>LA ESPERANZA</v>
          </cell>
        </row>
        <row r="1195">
          <cell r="B1195" t="str">
            <v>208108</v>
          </cell>
          <cell r="C1195">
            <v>2</v>
          </cell>
          <cell r="D1195" t="str">
            <v>CHAPINERO</v>
          </cell>
          <cell r="E1195" t="str">
            <v>208108</v>
          </cell>
          <cell r="F1195" t="str">
            <v>SAN ISIDRO RURAL</v>
          </cell>
        </row>
        <row r="1196">
          <cell r="B1196" t="str">
            <v>208110</v>
          </cell>
          <cell r="C1196">
            <v>2</v>
          </cell>
          <cell r="D1196" t="str">
            <v>CHAPINERO</v>
          </cell>
          <cell r="E1196" t="str">
            <v>208110</v>
          </cell>
          <cell r="F1196" t="str">
            <v>SAN LUIS ALTOS DEL CABO</v>
          </cell>
        </row>
        <row r="1197">
          <cell r="B1197" t="str">
            <v>208111</v>
          </cell>
          <cell r="C1197">
            <v>2</v>
          </cell>
          <cell r="D1197" t="str">
            <v>CHAPINERO</v>
          </cell>
          <cell r="E1197" t="str">
            <v>208111</v>
          </cell>
          <cell r="F1197" t="str">
            <v>SAN ISIDRO</v>
          </cell>
        </row>
        <row r="1198">
          <cell r="B1198" t="str">
            <v>208125</v>
          </cell>
          <cell r="C1198">
            <v>2</v>
          </cell>
          <cell r="D1198" t="str">
            <v>CHAPINERO</v>
          </cell>
          <cell r="E1198" t="str">
            <v>208125</v>
          </cell>
          <cell r="F1198" t="str">
            <v>SAN LUIS ALTOS DEL CABO RURAL II</v>
          </cell>
        </row>
        <row r="1199">
          <cell r="B1199" t="str">
            <v>208126</v>
          </cell>
          <cell r="C1199">
            <v>2</v>
          </cell>
          <cell r="D1199" t="str">
            <v>CHAPINERO</v>
          </cell>
          <cell r="E1199" t="str">
            <v>208126</v>
          </cell>
          <cell r="F1199" t="str">
            <v>SAN ISIDRO RURAL II</v>
          </cell>
        </row>
        <row r="1200">
          <cell r="B1200" t="str">
            <v>208127</v>
          </cell>
          <cell r="C1200">
            <v>1</v>
          </cell>
          <cell r="D1200" t="str">
            <v>USAQUEN</v>
          </cell>
          <cell r="E1200" t="str">
            <v>208127</v>
          </cell>
          <cell r="F1200" t="str">
            <v>PARAMO RURAL V</v>
          </cell>
        </row>
        <row r="1201">
          <cell r="B1201" t="str">
            <v>208128</v>
          </cell>
          <cell r="C1201">
            <v>1</v>
          </cell>
          <cell r="D1201" t="str">
            <v>USAQUEN</v>
          </cell>
          <cell r="E1201" t="str">
            <v>208128</v>
          </cell>
          <cell r="F1201" t="str">
            <v>TORCA II</v>
          </cell>
        </row>
        <row r="1202">
          <cell r="B1202" t="str">
            <v>208203</v>
          </cell>
          <cell r="C1202">
            <v>1</v>
          </cell>
          <cell r="D1202" t="str">
            <v>USAQUEN</v>
          </cell>
          <cell r="E1202" t="str">
            <v>208203</v>
          </cell>
          <cell r="F1202" t="str">
            <v>LA ESTRELLITA</v>
          </cell>
        </row>
        <row r="1203">
          <cell r="B1203" t="str">
            <v>209104</v>
          </cell>
          <cell r="C1203">
            <v>20</v>
          </cell>
          <cell r="D1203" t="str">
            <v>SUMAPAZ</v>
          </cell>
          <cell r="E1203" t="str">
            <v>209104</v>
          </cell>
          <cell r="F1203" t="str">
            <v>SAN JUAN URBANO</v>
          </cell>
        </row>
        <row r="1204">
          <cell r="B1204" t="str">
            <v>209106</v>
          </cell>
          <cell r="C1204">
            <v>20</v>
          </cell>
          <cell r="D1204" t="str">
            <v>SUMAPAZ</v>
          </cell>
          <cell r="E1204" t="str">
            <v>209106</v>
          </cell>
          <cell r="F1204" t="str">
            <v>LA UNION URBANO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 JUNIO"/>
      <sheetName val="Hoja1"/>
    </sheetNames>
    <sheetDataSet>
      <sheetData sheetId="0" refreshError="1"/>
      <sheetData sheetId="1" refreshError="1">
        <row r="1">
          <cell r="A1" t="str">
            <v>Direccion Real</v>
          </cell>
          <cell r="B1" t="str">
            <v>Valor Avaluo VIGENTE 2012</v>
          </cell>
        </row>
        <row r="2">
          <cell r="A2" t="str">
            <v>AK 45 197 75 LC 1027</v>
          </cell>
          <cell r="B2">
            <v>73680000</v>
          </cell>
        </row>
        <row r="3">
          <cell r="A3" t="str">
            <v>AK 45 197 75 LC 1045</v>
          </cell>
          <cell r="B3">
            <v>39165000</v>
          </cell>
        </row>
        <row r="4">
          <cell r="A4" t="str">
            <v>AK 45 197 75 LC 1050</v>
          </cell>
          <cell r="B4">
            <v>73680000</v>
          </cell>
        </row>
        <row r="5">
          <cell r="A5" t="str">
            <v>AK 45 197 75 LC 1052</v>
          </cell>
          <cell r="B5">
            <v>73680000</v>
          </cell>
        </row>
        <row r="6">
          <cell r="A6" t="str">
            <v>AK 45 197 75 LC 1059</v>
          </cell>
          <cell r="B6">
            <v>82383000</v>
          </cell>
        </row>
        <row r="7">
          <cell r="A7" t="str">
            <v>AK 45 197 75 LC 1090</v>
          </cell>
          <cell r="B7">
            <v>39035000</v>
          </cell>
        </row>
        <row r="8">
          <cell r="A8" t="str">
            <v>AK 45 197 75 LC 1094</v>
          </cell>
          <cell r="B8">
            <v>39165000</v>
          </cell>
        </row>
        <row r="9">
          <cell r="A9" t="str">
            <v>AK 45 197 75 LC 1100</v>
          </cell>
          <cell r="B9">
            <v>72793000</v>
          </cell>
        </row>
        <row r="10">
          <cell r="A10" t="str">
            <v>AK 45 197 75 LC 1115</v>
          </cell>
          <cell r="B10">
            <v>39165000</v>
          </cell>
        </row>
        <row r="11">
          <cell r="A11" t="str">
            <v>AK 45 197 75 LC 1120</v>
          </cell>
          <cell r="B11">
            <v>39165000</v>
          </cell>
        </row>
        <row r="12">
          <cell r="A12" t="str">
            <v>AK 45 197 75 LC 1133</v>
          </cell>
          <cell r="B12">
            <v>54306000</v>
          </cell>
        </row>
        <row r="13">
          <cell r="A13" t="str">
            <v>AK 45 197 75 LC 1135</v>
          </cell>
          <cell r="B13">
            <v>39035000</v>
          </cell>
        </row>
        <row r="14">
          <cell r="A14" t="str">
            <v>AK 45 197 75 LC 1137</v>
          </cell>
          <cell r="B14">
            <v>54306000</v>
          </cell>
        </row>
        <row r="15">
          <cell r="A15" t="str">
            <v>AK 45 197 75 LC 1153</v>
          </cell>
          <cell r="B15">
            <v>54306000</v>
          </cell>
        </row>
        <row r="16">
          <cell r="A16" t="str">
            <v>AK 45 197 75 LC 1155</v>
          </cell>
          <cell r="B16">
            <v>39100000</v>
          </cell>
        </row>
        <row r="17">
          <cell r="A17" t="str">
            <v>AK 45 197 75 LC 1157</v>
          </cell>
          <cell r="B17">
            <v>54306000</v>
          </cell>
        </row>
        <row r="18">
          <cell r="A18" t="str">
            <v>AK 45 197 75 LC 1172</v>
          </cell>
          <cell r="B18">
            <v>39165000</v>
          </cell>
        </row>
        <row r="19">
          <cell r="A19" t="str">
            <v>AK 45 197 75 LC 1174</v>
          </cell>
          <cell r="B19">
            <v>39165000</v>
          </cell>
        </row>
        <row r="20">
          <cell r="A20" t="str">
            <v>AK 45 197 75 LC 1185</v>
          </cell>
          <cell r="B20">
            <v>39165000</v>
          </cell>
        </row>
        <row r="21">
          <cell r="A21" t="str">
            <v>AK 45 197 75 LC 1187</v>
          </cell>
          <cell r="B21">
            <v>39165000</v>
          </cell>
        </row>
        <row r="22">
          <cell r="A22" t="str">
            <v>AK 45 197 75 LC 1192</v>
          </cell>
          <cell r="B22">
            <v>39035000</v>
          </cell>
        </row>
        <row r="23">
          <cell r="A23" t="str">
            <v>AK 45 197 75 LC 1201</v>
          </cell>
          <cell r="B23">
            <v>54306000</v>
          </cell>
        </row>
        <row r="24">
          <cell r="A24" t="str">
            <v>AK 45 197 75 LC 1203</v>
          </cell>
          <cell r="B24">
            <v>39035000</v>
          </cell>
        </row>
        <row r="25">
          <cell r="A25" t="str">
            <v>AK 45 197 75 LC 1205</v>
          </cell>
          <cell r="B25">
            <v>54306000</v>
          </cell>
        </row>
        <row r="26">
          <cell r="A26" t="str">
            <v>AK 45 197 75 LC 1207</v>
          </cell>
          <cell r="B26">
            <v>39035000</v>
          </cell>
        </row>
        <row r="27">
          <cell r="A27" t="str">
            <v>AK 45 197 75 LC 1209</v>
          </cell>
          <cell r="B27">
            <v>39035000</v>
          </cell>
        </row>
        <row r="28">
          <cell r="A28" t="str">
            <v>AK 45 197 75 LC 1221</v>
          </cell>
          <cell r="B28">
            <v>54306000</v>
          </cell>
        </row>
        <row r="29">
          <cell r="A29" t="str">
            <v>AK 45 197 75 LC 1223</v>
          </cell>
          <cell r="B29">
            <v>39035000</v>
          </cell>
        </row>
        <row r="30">
          <cell r="A30" t="str">
            <v>AK 45 197 75 LC 1225</v>
          </cell>
          <cell r="B30">
            <v>54306000</v>
          </cell>
        </row>
        <row r="31">
          <cell r="A31" t="str">
            <v>AK 45 197 75 LC 1258</v>
          </cell>
          <cell r="B31">
            <v>72793000</v>
          </cell>
        </row>
        <row r="32">
          <cell r="A32" t="str">
            <v>AK 45 197 75 LC 1259</v>
          </cell>
          <cell r="B32">
            <v>49432000</v>
          </cell>
        </row>
        <row r="33">
          <cell r="A33" t="str">
            <v>AK 45 197 75 LC 1287</v>
          </cell>
          <cell r="B33">
            <v>39165000</v>
          </cell>
        </row>
        <row r="34">
          <cell r="A34" t="str">
            <v>AK 45 197 75 LC 1301</v>
          </cell>
          <cell r="B34">
            <v>82383000</v>
          </cell>
        </row>
        <row r="35">
          <cell r="A35" t="str">
            <v>AK 45 197 75 LC 1306</v>
          </cell>
          <cell r="B35">
            <v>112295000</v>
          </cell>
        </row>
        <row r="36">
          <cell r="A36" t="str">
            <v>AK 45 197 75 LC 1330</v>
          </cell>
          <cell r="B36">
            <v>39035000</v>
          </cell>
        </row>
        <row r="37">
          <cell r="A37" t="str">
            <v>AK 45 197 75 LC 1342</v>
          </cell>
          <cell r="B37">
            <v>72793000</v>
          </cell>
        </row>
        <row r="38">
          <cell r="A38" t="str">
            <v>AK 45 197 75 LC 1347</v>
          </cell>
          <cell r="B38">
            <v>39165000</v>
          </cell>
        </row>
        <row r="39">
          <cell r="A39" t="str">
            <v>AK 45 197 75 LC 201</v>
          </cell>
          <cell r="B39">
            <v>718432000</v>
          </cell>
        </row>
        <row r="40">
          <cell r="A40" t="str">
            <v>AK 45 197 75 LC 2009</v>
          </cell>
          <cell r="B40">
            <v>37024000</v>
          </cell>
        </row>
        <row r="41">
          <cell r="A41" t="str">
            <v>AK 45 197 75 LC 2034</v>
          </cell>
          <cell r="B41">
            <v>69583000</v>
          </cell>
        </row>
        <row r="42">
          <cell r="A42" t="str">
            <v>AK 45 197 75 LC 2035</v>
          </cell>
          <cell r="B42">
            <v>37024000</v>
          </cell>
        </row>
        <row r="43">
          <cell r="A43" t="str">
            <v>AK 45 197 75 LC 2040</v>
          </cell>
          <cell r="B43">
            <v>37024000</v>
          </cell>
        </row>
        <row r="44">
          <cell r="A44" t="str">
            <v>AK 45 197 75 LC 2062</v>
          </cell>
          <cell r="B44">
            <v>69585000</v>
          </cell>
        </row>
        <row r="45">
          <cell r="A45" t="str">
            <v>AK 45 197 75 LC 2105</v>
          </cell>
          <cell r="B45">
            <v>37024000</v>
          </cell>
        </row>
        <row r="46">
          <cell r="A46" t="str">
            <v>AK 45 197 75 LC 2107</v>
          </cell>
          <cell r="B46">
            <v>97288000</v>
          </cell>
        </row>
        <row r="47">
          <cell r="A47" t="str">
            <v>AK 45 197 75 LC 2108</v>
          </cell>
          <cell r="B47">
            <v>102012000</v>
          </cell>
        </row>
        <row r="48">
          <cell r="A48" t="str">
            <v>AK 45 197 75 LC 2143</v>
          </cell>
          <cell r="B48">
            <v>37024000</v>
          </cell>
        </row>
        <row r="49">
          <cell r="A49" t="str">
            <v>AK 45 197 75 LC 2159</v>
          </cell>
          <cell r="B49">
            <v>37024000</v>
          </cell>
        </row>
        <row r="50">
          <cell r="A50" t="str">
            <v>AK 45 197 75 LC 2160</v>
          </cell>
          <cell r="B50">
            <v>37024000</v>
          </cell>
        </row>
        <row r="51">
          <cell r="A51" t="str">
            <v>AK 45 197 75 LC 2208</v>
          </cell>
          <cell r="B51">
            <v>37024000</v>
          </cell>
        </row>
        <row r="52">
          <cell r="A52" t="str">
            <v>AK 45 197 75 LC 2210</v>
          </cell>
          <cell r="B52">
            <v>64851000</v>
          </cell>
        </row>
        <row r="53">
          <cell r="A53" t="str">
            <v>AK 45 197 75 LC 2217</v>
          </cell>
          <cell r="B53">
            <v>37024000</v>
          </cell>
        </row>
        <row r="54">
          <cell r="A54" t="str">
            <v>AK 45 197 75 LC 2220</v>
          </cell>
          <cell r="B54">
            <v>46349000</v>
          </cell>
        </row>
        <row r="55">
          <cell r="A55" t="str">
            <v>AK 45 197 75 LC 2224</v>
          </cell>
          <cell r="B55">
            <v>69583000</v>
          </cell>
        </row>
        <row r="56">
          <cell r="A56" t="str">
            <v>AK 45 197 75 LC 2225</v>
          </cell>
          <cell r="B56">
            <v>97286000</v>
          </cell>
        </row>
        <row r="57">
          <cell r="A57" t="str">
            <v>AK 45 197 75 LC 2266</v>
          </cell>
          <cell r="B57">
            <v>106606000</v>
          </cell>
        </row>
        <row r="58">
          <cell r="A58" t="str">
            <v>AK 45 197 75 LC 2269</v>
          </cell>
          <cell r="B58">
            <v>37023000</v>
          </cell>
        </row>
        <row r="59">
          <cell r="A59" t="str">
            <v>AK 45 197 75 LC 2273</v>
          </cell>
          <cell r="B59">
            <v>37023000</v>
          </cell>
        </row>
        <row r="60">
          <cell r="A60" t="str">
            <v>AK 45 197 75 LC 2280</v>
          </cell>
          <cell r="B60">
            <v>37024000</v>
          </cell>
        </row>
        <row r="61">
          <cell r="A61" t="str">
            <v>AK 45 197 75 LC 2285</v>
          </cell>
          <cell r="B61">
            <v>37024000</v>
          </cell>
        </row>
        <row r="62">
          <cell r="A62" t="str">
            <v>AK 45 197 75 LC 2288</v>
          </cell>
          <cell r="B62">
            <v>37024000</v>
          </cell>
        </row>
        <row r="63">
          <cell r="A63" t="str">
            <v>AK 45 197 75 LC 2306</v>
          </cell>
          <cell r="B63">
            <v>69574000</v>
          </cell>
        </row>
        <row r="64">
          <cell r="A64" t="str">
            <v>AK 45 197 75 LC 2313</v>
          </cell>
          <cell r="B64">
            <v>37024000</v>
          </cell>
        </row>
        <row r="65">
          <cell r="A65" t="str">
            <v>AK 45 197 75 LC 2317</v>
          </cell>
          <cell r="B65">
            <v>32430000</v>
          </cell>
        </row>
        <row r="66">
          <cell r="A66" t="str">
            <v>AK 45 197 75 LC 3061</v>
          </cell>
          <cell r="B66">
            <v>50944000</v>
          </cell>
        </row>
        <row r="67">
          <cell r="A67" t="str">
            <v>AK 45 197 75 LC 3065</v>
          </cell>
          <cell r="B67">
            <v>50946000</v>
          </cell>
        </row>
        <row r="68">
          <cell r="A68" t="str">
            <v>AK 45 197 75 LC 3077</v>
          </cell>
          <cell r="B68">
            <v>50944000</v>
          </cell>
        </row>
        <row r="69">
          <cell r="A69" t="str">
            <v>AK 45 197 75 LC 3094</v>
          </cell>
          <cell r="B69">
            <v>69585000</v>
          </cell>
        </row>
        <row r="70">
          <cell r="A70" t="str">
            <v>AK 45 197 75 LC 3119</v>
          </cell>
          <cell r="B70">
            <v>50944000</v>
          </cell>
        </row>
        <row r="71">
          <cell r="A71" t="str">
            <v>AK 45 197 75 LC 3126</v>
          </cell>
          <cell r="B71">
            <v>46347000</v>
          </cell>
        </row>
        <row r="72">
          <cell r="A72" t="str">
            <v>AK 45 197 75 LC 3132</v>
          </cell>
          <cell r="B72">
            <v>70087000</v>
          </cell>
        </row>
        <row r="73">
          <cell r="A73" t="str">
            <v>AK 45 197 75 LC 3139</v>
          </cell>
          <cell r="B73">
            <v>78766000</v>
          </cell>
        </row>
        <row r="74">
          <cell r="A74" t="str">
            <v>AK 45 197 75 LC 3148</v>
          </cell>
          <cell r="B74">
            <v>125022000</v>
          </cell>
        </row>
        <row r="75">
          <cell r="A75" t="str">
            <v>AK 45 197 75 LC 101</v>
          </cell>
          <cell r="B75">
            <v>721930000</v>
          </cell>
        </row>
        <row r="76">
          <cell r="A76" t="str">
            <v>AK 45 197 75 LC 102</v>
          </cell>
          <cell r="B76">
            <v>753362000</v>
          </cell>
        </row>
        <row r="77">
          <cell r="A77" t="str">
            <v>AK 45 197 75 LC 1001</v>
          </cell>
          <cell r="B77">
            <v>48397000</v>
          </cell>
        </row>
        <row r="78">
          <cell r="A78" t="str">
            <v>AK 45 197 75 LC 1002</v>
          </cell>
          <cell r="B78">
            <v>48397000</v>
          </cell>
        </row>
        <row r="79">
          <cell r="A79" t="str">
            <v>AK 45 197 75 LC 1003</v>
          </cell>
          <cell r="B79">
            <v>34475000</v>
          </cell>
        </row>
        <row r="80">
          <cell r="A80" t="str">
            <v>AK 45 197 75 LC 1004</v>
          </cell>
          <cell r="B80">
            <v>34475000</v>
          </cell>
        </row>
        <row r="81">
          <cell r="A81" t="str">
            <v>AK 45 197 75 LC 1005</v>
          </cell>
          <cell r="B81">
            <v>34475000</v>
          </cell>
        </row>
        <row r="82">
          <cell r="A82" t="str">
            <v>AK 45 197 75 LC 1006</v>
          </cell>
          <cell r="B82">
            <v>34475000</v>
          </cell>
        </row>
        <row r="83">
          <cell r="A83" t="str">
            <v>AK 45 197 75 LC 1007</v>
          </cell>
          <cell r="B83">
            <v>38755000</v>
          </cell>
        </row>
        <row r="84">
          <cell r="A84" t="str">
            <v>AK 45 197 75 LC 1008</v>
          </cell>
          <cell r="B84">
            <v>39491000</v>
          </cell>
        </row>
        <row r="85">
          <cell r="A85" t="str">
            <v>AK 45 197 75 LC 1009</v>
          </cell>
          <cell r="B85">
            <v>39165000</v>
          </cell>
        </row>
        <row r="86">
          <cell r="A86" t="str">
            <v>AK 45 197 75 LC 1010</v>
          </cell>
          <cell r="B86">
            <v>39165000</v>
          </cell>
        </row>
        <row r="87">
          <cell r="A87" t="str">
            <v>AK 45 197 75 LC 1011</v>
          </cell>
          <cell r="B87">
            <v>39165000</v>
          </cell>
        </row>
        <row r="88">
          <cell r="A88" t="str">
            <v>AK 45 197 75 LC 1012</v>
          </cell>
          <cell r="B88">
            <v>48267000</v>
          </cell>
        </row>
        <row r="89">
          <cell r="A89" t="str">
            <v>AK 45 197 75 LC 1013</v>
          </cell>
          <cell r="B89">
            <v>59037000</v>
          </cell>
        </row>
        <row r="90">
          <cell r="A90" t="str">
            <v>AK 45 197 75 LC 1014</v>
          </cell>
          <cell r="B90">
            <v>73680000</v>
          </cell>
        </row>
        <row r="91">
          <cell r="A91" t="str">
            <v>AK 45 197 75 LC 1015</v>
          </cell>
          <cell r="B91">
            <v>39165000</v>
          </cell>
        </row>
        <row r="92">
          <cell r="A92" t="str">
            <v>AK 45 197 75 LC 1016</v>
          </cell>
          <cell r="B92">
            <v>72793000</v>
          </cell>
        </row>
        <row r="93">
          <cell r="A93" t="str">
            <v>AK 45 197 75 LC 1017</v>
          </cell>
          <cell r="B93">
            <v>49432000</v>
          </cell>
        </row>
        <row r="94">
          <cell r="A94" t="str">
            <v>AK 45 197 75 LC 1018</v>
          </cell>
          <cell r="B94">
            <v>49432000</v>
          </cell>
        </row>
        <row r="95">
          <cell r="A95" t="str">
            <v>AK 45 197 75 LC 1019</v>
          </cell>
          <cell r="B95">
            <v>39165000</v>
          </cell>
        </row>
        <row r="96">
          <cell r="A96" t="str">
            <v>AK 45 197 75 LC 1020</v>
          </cell>
          <cell r="B96">
            <v>72793000</v>
          </cell>
        </row>
        <row r="97">
          <cell r="A97" t="str">
            <v>AK 45 197 75 LC 1021</v>
          </cell>
          <cell r="B97">
            <v>39165000</v>
          </cell>
        </row>
        <row r="98">
          <cell r="A98" t="str">
            <v>AK 45 197 75 LC 1022</v>
          </cell>
          <cell r="B98">
            <v>73680000</v>
          </cell>
        </row>
        <row r="99">
          <cell r="A99" t="str">
            <v>AK 45 197 75 LC 1023</v>
          </cell>
          <cell r="B99">
            <v>102509000</v>
          </cell>
        </row>
        <row r="100">
          <cell r="A100" t="str">
            <v>AK 45 197 75 LC 1024</v>
          </cell>
          <cell r="B100">
            <v>39165000</v>
          </cell>
        </row>
        <row r="101">
          <cell r="A101" t="str">
            <v>AK 45 197 75 LC 1025</v>
          </cell>
          <cell r="B101">
            <v>73680000</v>
          </cell>
        </row>
        <row r="102">
          <cell r="A102" t="str">
            <v>AK 45 197 75 LC 1026</v>
          </cell>
          <cell r="B102">
            <v>39035000</v>
          </cell>
        </row>
        <row r="103">
          <cell r="A103" t="str">
            <v>AK 45 197 75 LC 1028</v>
          </cell>
          <cell r="B103">
            <v>39035000</v>
          </cell>
        </row>
        <row r="104">
          <cell r="A104" t="str">
            <v>AK 45 197 75 LC 1029</v>
          </cell>
          <cell r="B104">
            <v>73680000</v>
          </cell>
        </row>
        <row r="105">
          <cell r="A105" t="str">
            <v>AK 45 197 75 LC 1030</v>
          </cell>
          <cell r="B105">
            <v>39035000</v>
          </cell>
        </row>
        <row r="106">
          <cell r="A106" t="str">
            <v>AK 45 197 75 LC 1031</v>
          </cell>
          <cell r="B106">
            <v>73680000</v>
          </cell>
        </row>
        <row r="107">
          <cell r="A107" t="str">
            <v>AK 45 197 75 LC 1032</v>
          </cell>
          <cell r="B107">
            <v>39165000</v>
          </cell>
        </row>
        <row r="108">
          <cell r="A108" t="str">
            <v>AK 45 197 75 LC 1033</v>
          </cell>
          <cell r="B108">
            <v>73680000</v>
          </cell>
        </row>
        <row r="109">
          <cell r="A109" t="str">
            <v>AK 45 197 75 LC 1034</v>
          </cell>
          <cell r="B109">
            <v>73680000</v>
          </cell>
        </row>
        <row r="110">
          <cell r="A110" t="str">
            <v>AK 45 197 75 LC 1035</v>
          </cell>
          <cell r="B110">
            <v>39165000</v>
          </cell>
        </row>
        <row r="111">
          <cell r="A111" t="str">
            <v>AK 45 197 75 LC 1036</v>
          </cell>
          <cell r="B111">
            <v>73680000</v>
          </cell>
        </row>
        <row r="112">
          <cell r="A112" t="str">
            <v>AK 45 197 75 LC 1037</v>
          </cell>
          <cell r="B112">
            <v>39165000</v>
          </cell>
        </row>
        <row r="113">
          <cell r="A113" t="str">
            <v>AK 45 197 75 LC 1038</v>
          </cell>
          <cell r="B113">
            <v>73680000</v>
          </cell>
        </row>
        <row r="114">
          <cell r="A114" t="str">
            <v>AK 45 197 75 LC 1039</v>
          </cell>
          <cell r="B114">
            <v>73680000</v>
          </cell>
        </row>
        <row r="115">
          <cell r="A115" t="str">
            <v>AK 45 197 75 LC 1040</v>
          </cell>
          <cell r="B115">
            <v>39165000</v>
          </cell>
        </row>
        <row r="116">
          <cell r="A116" t="str">
            <v>AK 45 197 75 LC 1041</v>
          </cell>
          <cell r="B116">
            <v>73680000</v>
          </cell>
        </row>
        <row r="117">
          <cell r="A117" t="str">
            <v>AK 45 197 75 LC 1042</v>
          </cell>
          <cell r="B117">
            <v>39165000</v>
          </cell>
        </row>
        <row r="118">
          <cell r="A118" t="str">
            <v>AK 45 197 75 LC 1043</v>
          </cell>
          <cell r="B118">
            <v>73680000</v>
          </cell>
        </row>
        <row r="119">
          <cell r="A119" t="str">
            <v>AK 45 197 75 LC 1044</v>
          </cell>
          <cell r="B119">
            <v>73680000</v>
          </cell>
        </row>
        <row r="120">
          <cell r="A120" t="str">
            <v>AK 45 197 75 LC 1046</v>
          </cell>
          <cell r="B120">
            <v>73680000</v>
          </cell>
        </row>
        <row r="121">
          <cell r="A121" t="str">
            <v>AK 45 197 75 LC 1047</v>
          </cell>
          <cell r="B121">
            <v>39035000</v>
          </cell>
        </row>
        <row r="122">
          <cell r="A122" t="str">
            <v>AK 45 197 75 LC 1048</v>
          </cell>
          <cell r="B122">
            <v>73680000</v>
          </cell>
        </row>
        <row r="123">
          <cell r="A123" t="str">
            <v>AK 45 197 75 LC 1049</v>
          </cell>
          <cell r="B123">
            <v>39035000</v>
          </cell>
        </row>
        <row r="124">
          <cell r="A124" t="str">
            <v>AK 45 197 75 LC 1051</v>
          </cell>
          <cell r="B124">
            <v>39035000</v>
          </cell>
        </row>
        <row r="125">
          <cell r="A125" t="str">
            <v>AK 45 197 75 LC 1053</v>
          </cell>
          <cell r="B125">
            <v>39165000</v>
          </cell>
        </row>
        <row r="126">
          <cell r="A126" t="str">
            <v>AK 45 197 75 LC 1054</v>
          </cell>
          <cell r="B126">
            <v>73680000</v>
          </cell>
        </row>
        <row r="127">
          <cell r="A127" t="str">
            <v>AK 45 197 75 LC 1055</v>
          </cell>
          <cell r="B127">
            <v>107831000</v>
          </cell>
        </row>
        <row r="128">
          <cell r="A128" t="str">
            <v>AK 45 197 75 LC 1056</v>
          </cell>
          <cell r="B128">
            <v>82383000</v>
          </cell>
        </row>
        <row r="129">
          <cell r="A129" t="str">
            <v>AK 45 197 75 LC 1057</v>
          </cell>
          <cell r="B129">
            <v>72666000</v>
          </cell>
        </row>
        <row r="130">
          <cell r="A130" t="str">
            <v>AK 45 197 75 LC 1058</v>
          </cell>
          <cell r="B130">
            <v>82383000</v>
          </cell>
        </row>
        <row r="131">
          <cell r="A131" t="str">
            <v>AK 45 197 75 LC 1060</v>
          </cell>
          <cell r="B131">
            <v>67876000</v>
          </cell>
        </row>
        <row r="132">
          <cell r="A132" t="str">
            <v>AK 45 197 75 LC 1061</v>
          </cell>
          <cell r="B132">
            <v>67876000</v>
          </cell>
        </row>
        <row r="133">
          <cell r="A133" t="str">
            <v>AK 45 197 75 LC 1062</v>
          </cell>
          <cell r="B133">
            <v>82383000</v>
          </cell>
        </row>
        <row r="134">
          <cell r="A134" t="str">
            <v>AK 45 197 75 LC 1063</v>
          </cell>
          <cell r="B134">
            <v>82383000</v>
          </cell>
        </row>
        <row r="135">
          <cell r="A135" t="str">
            <v>AK 45 197 75 LC 1064</v>
          </cell>
          <cell r="B135">
            <v>112295000</v>
          </cell>
        </row>
        <row r="136">
          <cell r="A136" t="str">
            <v>AK 45 197 75 LC 1065</v>
          </cell>
          <cell r="B136">
            <v>39165000</v>
          </cell>
        </row>
        <row r="137">
          <cell r="A137" t="str">
            <v>AK 45 197 75 LC 1066</v>
          </cell>
          <cell r="B137">
            <v>73680000</v>
          </cell>
        </row>
        <row r="138">
          <cell r="A138" t="str">
            <v>AK 45 197 75 LC 1067</v>
          </cell>
          <cell r="B138">
            <v>39035000</v>
          </cell>
        </row>
        <row r="139">
          <cell r="A139" t="str">
            <v>AK 45 197 75 LC 1068</v>
          </cell>
          <cell r="B139">
            <v>73680000</v>
          </cell>
        </row>
        <row r="140">
          <cell r="A140" t="str">
            <v>AK 45 197 75 LC 1069</v>
          </cell>
          <cell r="B140">
            <v>39035000</v>
          </cell>
        </row>
        <row r="141">
          <cell r="A141" t="str">
            <v>AK 45 197 75 LC 1070</v>
          </cell>
          <cell r="B141">
            <v>73680000</v>
          </cell>
        </row>
        <row r="142">
          <cell r="A142" t="str">
            <v>AK 45 197 75 LC 1071</v>
          </cell>
          <cell r="B142">
            <v>39035000</v>
          </cell>
        </row>
        <row r="143">
          <cell r="A143" t="str">
            <v>AK 45 197 75 LC 1072</v>
          </cell>
          <cell r="B143">
            <v>73680000</v>
          </cell>
        </row>
        <row r="144">
          <cell r="A144" t="str">
            <v>AK 45 197 75 LC 1073</v>
          </cell>
          <cell r="B144">
            <v>39165000</v>
          </cell>
        </row>
        <row r="145">
          <cell r="A145" t="str">
            <v>AK 45 197 75 LC 1074</v>
          </cell>
          <cell r="B145">
            <v>73680000</v>
          </cell>
        </row>
        <row r="146">
          <cell r="A146" t="str">
            <v>AK 45 197 75 LC 1075</v>
          </cell>
          <cell r="B146">
            <v>73680000</v>
          </cell>
        </row>
        <row r="147">
          <cell r="A147" t="str">
            <v>AK 45 197 75 LC 1076</v>
          </cell>
          <cell r="B147">
            <v>39165000</v>
          </cell>
        </row>
        <row r="148">
          <cell r="A148" t="str">
            <v>AK 45 197 75 LC 1077</v>
          </cell>
          <cell r="B148">
            <v>73680000</v>
          </cell>
        </row>
        <row r="149">
          <cell r="A149" t="str">
            <v>AK 45 197 75 LC 1078</v>
          </cell>
          <cell r="B149">
            <v>39165000</v>
          </cell>
        </row>
        <row r="150">
          <cell r="A150" t="str">
            <v>AK 45 197 75 LC 1079</v>
          </cell>
          <cell r="B150">
            <v>73680000</v>
          </cell>
        </row>
        <row r="151">
          <cell r="A151" t="str">
            <v>AK 45 197 75 LC 1080</v>
          </cell>
          <cell r="B151">
            <v>73680000</v>
          </cell>
        </row>
        <row r="152">
          <cell r="A152" t="str">
            <v>AK 45 197 75 LC 1081</v>
          </cell>
          <cell r="B152">
            <v>39165000</v>
          </cell>
        </row>
        <row r="153">
          <cell r="A153" t="str">
            <v>AK 45 197 75 LC 1082</v>
          </cell>
          <cell r="B153">
            <v>73680000</v>
          </cell>
        </row>
        <row r="154">
          <cell r="A154" t="str">
            <v>AK 45 197 75 LC 1083</v>
          </cell>
          <cell r="B154">
            <v>39165000</v>
          </cell>
        </row>
        <row r="155">
          <cell r="A155" t="str">
            <v>AK 45 197 75 LC 1084</v>
          </cell>
          <cell r="B155">
            <v>73680000</v>
          </cell>
        </row>
        <row r="156">
          <cell r="A156" t="str">
            <v>AK 45 197 75 LC 1085</v>
          </cell>
          <cell r="B156">
            <v>73680000</v>
          </cell>
        </row>
        <row r="157">
          <cell r="A157" t="str">
            <v>AK 45 197 75 LC 1086</v>
          </cell>
          <cell r="B157">
            <v>39165000</v>
          </cell>
        </row>
        <row r="158">
          <cell r="A158" t="str">
            <v>AK 45 197 75 LC 1087</v>
          </cell>
          <cell r="B158">
            <v>73680000</v>
          </cell>
        </row>
        <row r="159">
          <cell r="A159" t="str">
            <v>AK 45 197 75 LC 1088</v>
          </cell>
          <cell r="B159">
            <v>39035000</v>
          </cell>
        </row>
        <row r="160">
          <cell r="A160" t="str">
            <v>AK 45 197 75 LC 1089</v>
          </cell>
          <cell r="B160">
            <v>73680000</v>
          </cell>
        </row>
        <row r="161">
          <cell r="A161" t="str">
            <v>AK 45 197 75 LC 1091</v>
          </cell>
          <cell r="B161">
            <v>73680000</v>
          </cell>
        </row>
        <row r="162">
          <cell r="A162" t="str">
            <v>AK 45 197 75 LC 1092</v>
          </cell>
          <cell r="B162">
            <v>39035000</v>
          </cell>
        </row>
        <row r="163">
          <cell r="A163" t="str">
            <v>AK 45 197 75 LC 1093</v>
          </cell>
          <cell r="B163">
            <v>73680000</v>
          </cell>
        </row>
        <row r="164">
          <cell r="A164" t="str">
            <v>AK 45 197 75 LC 1095</v>
          </cell>
          <cell r="B164">
            <v>73680000</v>
          </cell>
        </row>
        <row r="165">
          <cell r="A165" t="str">
            <v>AK 45 197 75 LC 1096</v>
          </cell>
          <cell r="B165">
            <v>102509000</v>
          </cell>
        </row>
        <row r="166">
          <cell r="A166" t="str">
            <v>AK 45 197 75 LC 1097</v>
          </cell>
          <cell r="B166">
            <v>39165000</v>
          </cell>
        </row>
        <row r="167">
          <cell r="A167" t="str">
            <v>AK 45 197 75 LC 1098</v>
          </cell>
          <cell r="B167">
            <v>73680000</v>
          </cell>
        </row>
        <row r="168">
          <cell r="A168" t="str">
            <v>AK 45 197 75 LC 1099</v>
          </cell>
          <cell r="B168">
            <v>39165000</v>
          </cell>
        </row>
        <row r="169">
          <cell r="A169" t="str">
            <v>AK 45 197 75 LC 1101</v>
          </cell>
          <cell r="B169">
            <v>49432000</v>
          </cell>
        </row>
        <row r="170">
          <cell r="A170" t="str">
            <v>AK 45 197 75 LC 1102</v>
          </cell>
          <cell r="B170">
            <v>49432000</v>
          </cell>
        </row>
        <row r="171">
          <cell r="A171" t="str">
            <v>AK 45 197 75 LC 1103</v>
          </cell>
          <cell r="B171">
            <v>39165000</v>
          </cell>
        </row>
        <row r="172">
          <cell r="A172" t="str">
            <v>AK 45 197 75 LC 1104</v>
          </cell>
          <cell r="B172">
            <v>72793000</v>
          </cell>
        </row>
        <row r="173">
          <cell r="A173" t="str">
            <v>AK 45 197 75 LC 1105</v>
          </cell>
          <cell r="B173">
            <v>39165000</v>
          </cell>
        </row>
        <row r="174">
          <cell r="A174" t="str">
            <v>AK 45 197 75 LC 1106</v>
          </cell>
          <cell r="B174">
            <v>73680000</v>
          </cell>
        </row>
        <row r="175">
          <cell r="A175" t="str">
            <v>AK 45 197 75 LC 1107</v>
          </cell>
          <cell r="B175">
            <v>102694000</v>
          </cell>
        </row>
        <row r="176">
          <cell r="A176" t="str">
            <v>AK 45 197 75 LC 1108</v>
          </cell>
          <cell r="B176">
            <v>107708000</v>
          </cell>
        </row>
        <row r="177">
          <cell r="A177" t="str">
            <v>AK 45 197 75 LC 1109</v>
          </cell>
          <cell r="B177">
            <v>67876000</v>
          </cell>
        </row>
        <row r="178">
          <cell r="A178" t="str">
            <v>AK 45 197 75 LC 1110</v>
          </cell>
          <cell r="B178">
            <v>39165000</v>
          </cell>
        </row>
        <row r="179">
          <cell r="A179" t="str">
            <v>AK 45 197 75 LC 1111</v>
          </cell>
          <cell r="B179">
            <v>39165000</v>
          </cell>
        </row>
        <row r="180">
          <cell r="A180" t="str">
            <v>AK 45 197 75 LC 1112</v>
          </cell>
          <cell r="B180">
            <v>39165000</v>
          </cell>
        </row>
        <row r="181">
          <cell r="A181" t="str">
            <v>AK 45 197 75 LC 1113</v>
          </cell>
          <cell r="B181">
            <v>39165000</v>
          </cell>
        </row>
        <row r="182">
          <cell r="A182" t="str">
            <v>AK 45 197 75 LC 1114</v>
          </cell>
          <cell r="B182">
            <v>39165000</v>
          </cell>
        </row>
        <row r="183">
          <cell r="A183" t="str">
            <v>AK 45 197 75 LC 1116</v>
          </cell>
          <cell r="B183">
            <v>39165000</v>
          </cell>
        </row>
        <row r="184">
          <cell r="A184" t="str">
            <v>AK 45 197 75 LC 1117</v>
          </cell>
          <cell r="B184">
            <v>39165000</v>
          </cell>
        </row>
        <row r="185">
          <cell r="A185" t="str">
            <v>AK 45 197 75 LC 1118</v>
          </cell>
          <cell r="B185">
            <v>39165000</v>
          </cell>
        </row>
        <row r="186">
          <cell r="A186" t="str">
            <v>AK 45 197 75 LC 1119</v>
          </cell>
          <cell r="B186">
            <v>39165000</v>
          </cell>
        </row>
        <row r="187">
          <cell r="A187" t="str">
            <v>AK 45 197 75 LC 1121</v>
          </cell>
          <cell r="B187">
            <v>39165000</v>
          </cell>
        </row>
        <row r="188">
          <cell r="A188" t="str">
            <v>AK 45 197 75 LC 1122</v>
          </cell>
          <cell r="B188">
            <v>39035000</v>
          </cell>
        </row>
        <row r="189">
          <cell r="A189" t="str">
            <v>AK 45 197 75 LC 1123</v>
          </cell>
          <cell r="B189">
            <v>39165000</v>
          </cell>
        </row>
        <row r="190">
          <cell r="A190" t="str">
            <v>AK 45 197 75 LC 1124</v>
          </cell>
          <cell r="B190">
            <v>39035000</v>
          </cell>
        </row>
        <row r="191">
          <cell r="A191" t="str">
            <v>AK 45 197 75 LC 1125</v>
          </cell>
          <cell r="B191">
            <v>54306000</v>
          </cell>
        </row>
        <row r="192">
          <cell r="A192" t="str">
            <v>AK 45 197 75 LC 1126</v>
          </cell>
          <cell r="B192">
            <v>39035000</v>
          </cell>
        </row>
        <row r="193">
          <cell r="A193" t="str">
            <v>AK 45 197 75 LC 1127</v>
          </cell>
          <cell r="B193">
            <v>39035000</v>
          </cell>
        </row>
        <row r="194">
          <cell r="A194" t="str">
            <v>AK 45 197 75 LC 1128</v>
          </cell>
          <cell r="B194">
            <v>39165000</v>
          </cell>
        </row>
        <row r="195">
          <cell r="A195" t="str">
            <v>AK 45 197 75 LC 1129</v>
          </cell>
          <cell r="B195">
            <v>54306000</v>
          </cell>
        </row>
        <row r="196">
          <cell r="A196" t="str">
            <v>AK 45 197 75 LC 1130</v>
          </cell>
          <cell r="B196">
            <v>39165000</v>
          </cell>
        </row>
        <row r="197">
          <cell r="A197" t="str">
            <v>AK 45 197 75 LC 1131</v>
          </cell>
          <cell r="B197">
            <v>39165000</v>
          </cell>
        </row>
        <row r="198">
          <cell r="A198" t="str">
            <v>AK 45 197 75 LC 1132</v>
          </cell>
          <cell r="B198">
            <v>39165000</v>
          </cell>
        </row>
        <row r="199">
          <cell r="A199" t="str">
            <v>AK 45 197 75 LC 1134</v>
          </cell>
          <cell r="B199">
            <v>39165000</v>
          </cell>
        </row>
        <row r="200">
          <cell r="A200" t="str">
            <v>AK 45 197 75 LC 1136</v>
          </cell>
          <cell r="B200">
            <v>39165000</v>
          </cell>
        </row>
        <row r="201">
          <cell r="A201" t="str">
            <v>AK 45 197 75 LC 1138</v>
          </cell>
          <cell r="B201">
            <v>39035000</v>
          </cell>
        </row>
        <row r="202">
          <cell r="A202" t="str">
            <v>AK 45 197 75 LC 1139</v>
          </cell>
          <cell r="B202">
            <v>39035000</v>
          </cell>
        </row>
        <row r="203">
          <cell r="A203" t="str">
            <v>AK 45 197 75 LC 1140</v>
          </cell>
          <cell r="B203">
            <v>39165000</v>
          </cell>
        </row>
        <row r="204">
          <cell r="A204" t="str">
            <v>AK 45 197 75 LC 1141</v>
          </cell>
          <cell r="B204">
            <v>39035000</v>
          </cell>
        </row>
        <row r="205">
          <cell r="A205" t="str">
            <v>AK 45 197 75 LC 1142</v>
          </cell>
          <cell r="B205">
            <v>39165000</v>
          </cell>
        </row>
        <row r="206">
          <cell r="A206" t="str">
            <v>AK 45 197 75 LC 1143</v>
          </cell>
          <cell r="B206">
            <v>39165000</v>
          </cell>
        </row>
        <row r="207">
          <cell r="A207" t="str">
            <v>AK 45 197 75 LC 1144</v>
          </cell>
          <cell r="B207">
            <v>82383000</v>
          </cell>
        </row>
        <row r="208">
          <cell r="A208" t="str">
            <v>AK 45 197 75 LC 1145</v>
          </cell>
          <cell r="B208">
            <v>82383000</v>
          </cell>
        </row>
        <row r="209">
          <cell r="A209" t="str">
            <v>AK 45 197 75 LC 1146</v>
          </cell>
          <cell r="B209">
            <v>82383000</v>
          </cell>
        </row>
        <row r="210">
          <cell r="A210" t="str">
            <v>AK 45 197 75 LC 1147</v>
          </cell>
          <cell r="B210">
            <v>82383000</v>
          </cell>
        </row>
        <row r="211">
          <cell r="A211" t="str">
            <v>AK 45 197 75 LC 1148</v>
          </cell>
          <cell r="B211">
            <v>39165000</v>
          </cell>
        </row>
        <row r="212">
          <cell r="A212" t="str">
            <v>AK 45 197 75 LC 1149</v>
          </cell>
          <cell r="B212">
            <v>39165000</v>
          </cell>
        </row>
        <row r="213">
          <cell r="A213" t="str">
            <v>AK 45 197 75 LC 1150</v>
          </cell>
          <cell r="B213">
            <v>39165000</v>
          </cell>
        </row>
        <row r="214">
          <cell r="A214" t="str">
            <v>AK 45 197 75 LC 1151</v>
          </cell>
          <cell r="B214">
            <v>39035000</v>
          </cell>
        </row>
        <row r="215">
          <cell r="A215" t="str">
            <v>AK 45 197 75 LC 1152</v>
          </cell>
          <cell r="B215">
            <v>39035000</v>
          </cell>
        </row>
        <row r="216">
          <cell r="A216" t="str">
            <v>AK 45 197 75 LC 1154</v>
          </cell>
          <cell r="B216">
            <v>39035000</v>
          </cell>
        </row>
        <row r="217">
          <cell r="A217" t="str">
            <v>AK 45 197 75 LC 1156</v>
          </cell>
          <cell r="B217">
            <v>39165000</v>
          </cell>
        </row>
        <row r="218">
          <cell r="A218" t="str">
            <v>AK 45 197 75 LC 1158</v>
          </cell>
          <cell r="B218">
            <v>39165000</v>
          </cell>
        </row>
        <row r="219">
          <cell r="A219" t="str">
            <v>AK 45 197 75 LC 1159</v>
          </cell>
          <cell r="B219">
            <v>39165000</v>
          </cell>
        </row>
        <row r="220">
          <cell r="A220" t="str">
            <v>AK 45 197 75 LC 1160</v>
          </cell>
          <cell r="B220">
            <v>39165000</v>
          </cell>
        </row>
        <row r="221">
          <cell r="A221" t="str">
            <v>AK 45 197 75 LC 1161</v>
          </cell>
          <cell r="B221">
            <v>54306000</v>
          </cell>
        </row>
        <row r="222">
          <cell r="A222" t="str">
            <v>AK 45 197 75 LC 1162</v>
          </cell>
          <cell r="B222">
            <v>39165000</v>
          </cell>
        </row>
        <row r="223">
          <cell r="A223" t="str">
            <v>AK 45 197 75 LC 1163</v>
          </cell>
          <cell r="B223">
            <v>39035000</v>
          </cell>
        </row>
        <row r="224">
          <cell r="A224" t="str">
            <v>AK 45 197 75 LC 1164</v>
          </cell>
          <cell r="B224">
            <v>39165000</v>
          </cell>
        </row>
        <row r="225">
          <cell r="A225" t="str">
            <v>AK 45 197 75 LC 1165</v>
          </cell>
          <cell r="B225">
            <v>54306000</v>
          </cell>
        </row>
        <row r="226">
          <cell r="A226" t="str">
            <v>AK 45 197 75 LC 1166</v>
          </cell>
          <cell r="B226">
            <v>39035000</v>
          </cell>
        </row>
        <row r="227">
          <cell r="A227" t="str">
            <v>AK 45 197 75 LC 1167</v>
          </cell>
          <cell r="B227">
            <v>39035000</v>
          </cell>
        </row>
        <row r="228">
          <cell r="A228" t="str">
            <v>AK 45 197 75 LC 1168</v>
          </cell>
          <cell r="B228">
            <v>39165000</v>
          </cell>
        </row>
        <row r="229">
          <cell r="A229" t="str">
            <v>AK 45 197 75 LC 1169</v>
          </cell>
          <cell r="B229">
            <v>39035000</v>
          </cell>
        </row>
        <row r="230">
          <cell r="A230" t="str">
            <v>AK 45 197 75 LC 1170</v>
          </cell>
          <cell r="B230">
            <v>39165000</v>
          </cell>
        </row>
        <row r="231">
          <cell r="A231" t="str">
            <v>AK 45 197 75 LC 1171</v>
          </cell>
          <cell r="B231">
            <v>39165000</v>
          </cell>
        </row>
        <row r="232">
          <cell r="A232" t="str">
            <v>AK 45 197 75 LC 1173</v>
          </cell>
          <cell r="B232">
            <v>39165000</v>
          </cell>
        </row>
        <row r="233">
          <cell r="A233" t="str">
            <v>AK 45 197 75 LC 1175</v>
          </cell>
          <cell r="B233">
            <v>39165000</v>
          </cell>
        </row>
        <row r="234">
          <cell r="A234" t="str">
            <v>AK 45 197 75 LC 1176</v>
          </cell>
          <cell r="B234">
            <v>39165000</v>
          </cell>
        </row>
        <row r="235">
          <cell r="A235" t="str">
            <v>AK 45 197 75 LC 1177</v>
          </cell>
          <cell r="B235">
            <v>39165000</v>
          </cell>
        </row>
        <row r="236">
          <cell r="A236" t="str">
            <v>AK 45 197 75 LC 1178</v>
          </cell>
          <cell r="B236">
            <v>39165000</v>
          </cell>
        </row>
        <row r="237">
          <cell r="A237" t="str">
            <v>AK 45 197 75 LC 1179</v>
          </cell>
          <cell r="B237">
            <v>39165000</v>
          </cell>
        </row>
        <row r="238">
          <cell r="A238" t="str">
            <v>AK 45 197 75 LC 1180</v>
          </cell>
          <cell r="B238">
            <v>39165000</v>
          </cell>
        </row>
        <row r="239">
          <cell r="A239" t="str">
            <v>AK 45 197 75 LC 1181</v>
          </cell>
          <cell r="B239">
            <v>39165000</v>
          </cell>
        </row>
        <row r="240">
          <cell r="A240" t="str">
            <v>AK 45 197 75 LC 1182</v>
          </cell>
          <cell r="B240">
            <v>39165000</v>
          </cell>
        </row>
        <row r="241">
          <cell r="A241" t="str">
            <v>AK 45 197 75 LC 1183</v>
          </cell>
          <cell r="B241">
            <v>39165000</v>
          </cell>
        </row>
        <row r="242">
          <cell r="A242" t="str">
            <v>AK 45 197 75 LC 1184</v>
          </cell>
          <cell r="B242">
            <v>39165000</v>
          </cell>
        </row>
        <row r="243">
          <cell r="A243" t="str">
            <v>AK 45 197 75 LC 1186</v>
          </cell>
          <cell r="B243">
            <v>39165000</v>
          </cell>
        </row>
        <row r="244">
          <cell r="A244" t="str">
            <v>AK 45 197 75 LC 1188</v>
          </cell>
          <cell r="B244">
            <v>39165000</v>
          </cell>
        </row>
        <row r="245">
          <cell r="A245" t="str">
            <v>AK 45 197 75 LC 1189</v>
          </cell>
          <cell r="B245">
            <v>39165000</v>
          </cell>
        </row>
        <row r="246">
          <cell r="A246" t="str">
            <v>AK 45 197 75 LC 1190</v>
          </cell>
          <cell r="B246">
            <v>39035000</v>
          </cell>
        </row>
        <row r="247">
          <cell r="A247" t="str">
            <v>AK 45 197 75 LC 1191</v>
          </cell>
          <cell r="B247">
            <v>39165000</v>
          </cell>
        </row>
        <row r="248">
          <cell r="A248" t="str">
            <v>AK 45 197 75 LC 1193</v>
          </cell>
          <cell r="B248">
            <v>54306000</v>
          </cell>
        </row>
        <row r="249">
          <cell r="A249" t="str">
            <v>AK 45 197 75 LC 1194</v>
          </cell>
          <cell r="B249">
            <v>39035000</v>
          </cell>
        </row>
        <row r="250">
          <cell r="A250" t="str">
            <v>AK 45 197 75 LC 1195</v>
          </cell>
          <cell r="B250">
            <v>39035000</v>
          </cell>
        </row>
        <row r="251">
          <cell r="A251" t="str">
            <v>AK 45 197 75 LC 1196</v>
          </cell>
          <cell r="B251">
            <v>39165000</v>
          </cell>
        </row>
        <row r="252">
          <cell r="A252" t="str">
            <v>AK 45 197 75 LC 1197</v>
          </cell>
          <cell r="B252">
            <v>54306000</v>
          </cell>
        </row>
        <row r="253">
          <cell r="A253" t="str">
            <v>AK 45 197 75 LC 1198</v>
          </cell>
          <cell r="B253">
            <v>39165000</v>
          </cell>
        </row>
        <row r="254">
          <cell r="A254" t="str">
            <v>AK 45 197 75 LC 1199</v>
          </cell>
          <cell r="B254">
            <v>39165000</v>
          </cell>
        </row>
        <row r="255">
          <cell r="A255" t="str">
            <v>AK 45 197 75 LC 1200</v>
          </cell>
          <cell r="B255">
            <v>39165000</v>
          </cell>
        </row>
        <row r="256">
          <cell r="A256" t="str">
            <v>AK 45 197 75 LC 1202</v>
          </cell>
          <cell r="B256">
            <v>39165000</v>
          </cell>
        </row>
        <row r="257">
          <cell r="A257" t="str">
            <v>AK 45 197 75 LC 1204</v>
          </cell>
          <cell r="B257">
            <v>39165000</v>
          </cell>
        </row>
        <row r="258">
          <cell r="A258" t="str">
            <v>AK 45 197 75 LC 1206</v>
          </cell>
          <cell r="B258">
            <v>39035000</v>
          </cell>
        </row>
        <row r="259">
          <cell r="A259" t="str">
            <v>AK 45 197 75 LC 1208</v>
          </cell>
          <cell r="B259">
            <v>39165000</v>
          </cell>
        </row>
        <row r="260">
          <cell r="A260" t="str">
            <v>AK 45 197 75 LC 1210</v>
          </cell>
          <cell r="B260">
            <v>39165000</v>
          </cell>
        </row>
        <row r="261">
          <cell r="A261" t="str">
            <v>AK 45 197 75 LC 1211</v>
          </cell>
          <cell r="B261">
            <v>39165000</v>
          </cell>
        </row>
        <row r="262">
          <cell r="A262" t="str">
            <v>AK 45 197 75 LC 1212</v>
          </cell>
          <cell r="B262">
            <v>82383000</v>
          </cell>
        </row>
        <row r="263">
          <cell r="A263" t="str">
            <v>AK 45 197 75 LC 1213</v>
          </cell>
          <cell r="B263">
            <v>82383000</v>
          </cell>
        </row>
        <row r="264">
          <cell r="A264" t="str">
            <v>AK 45 197 75 LC 1214</v>
          </cell>
          <cell r="B264">
            <v>82383000</v>
          </cell>
        </row>
        <row r="265">
          <cell r="A265" t="str">
            <v>AK 45 197 75 LC 1215</v>
          </cell>
          <cell r="B265">
            <v>82383000</v>
          </cell>
        </row>
        <row r="266">
          <cell r="A266" t="str">
            <v>AK 45 197 75 LC 1216</v>
          </cell>
          <cell r="B266">
            <v>39165000</v>
          </cell>
        </row>
        <row r="267">
          <cell r="A267" t="str">
            <v>AK 45 197 75 LC 1217</v>
          </cell>
          <cell r="B267">
            <v>39165000</v>
          </cell>
        </row>
        <row r="268">
          <cell r="A268" t="str">
            <v>AK 45 197 75 LC 1218</v>
          </cell>
          <cell r="B268">
            <v>39165000</v>
          </cell>
        </row>
        <row r="269">
          <cell r="A269" t="str">
            <v>AK 45 197 75 LC 1219</v>
          </cell>
          <cell r="B269">
            <v>39035000</v>
          </cell>
        </row>
        <row r="270">
          <cell r="A270" t="str">
            <v>AK 45 197 75 LC 1220</v>
          </cell>
          <cell r="B270">
            <v>39035000</v>
          </cell>
        </row>
        <row r="271">
          <cell r="A271" t="str">
            <v>AK 45 197 75 LC 1222</v>
          </cell>
          <cell r="B271">
            <v>39035000</v>
          </cell>
        </row>
        <row r="272">
          <cell r="A272" t="str">
            <v>AK 45 197 75 LC 1224</v>
          </cell>
          <cell r="B272">
            <v>39165000</v>
          </cell>
        </row>
        <row r="273">
          <cell r="A273" t="str">
            <v>AK 45 197 75 LC 1226</v>
          </cell>
          <cell r="B273">
            <v>39165000</v>
          </cell>
        </row>
        <row r="274">
          <cell r="A274" t="str">
            <v>AK 45 197 75 LC 1227</v>
          </cell>
          <cell r="B274">
            <v>39165000</v>
          </cell>
        </row>
        <row r="275">
          <cell r="A275" t="str">
            <v>AK 45 197 75 LC 1228</v>
          </cell>
          <cell r="B275">
            <v>39165000</v>
          </cell>
        </row>
        <row r="276">
          <cell r="A276" t="str">
            <v>AK 45 197 75 LC 1229</v>
          </cell>
          <cell r="B276">
            <v>54306000</v>
          </cell>
        </row>
        <row r="277">
          <cell r="A277" t="str">
            <v>AK 45 197 75 LC 1230</v>
          </cell>
          <cell r="B277">
            <v>39165000</v>
          </cell>
        </row>
        <row r="278">
          <cell r="A278" t="str">
            <v>AK 45 197 75 LC 1231</v>
          </cell>
          <cell r="B278">
            <v>39035000</v>
          </cell>
        </row>
        <row r="279">
          <cell r="A279" t="str">
            <v>AK 45 197 75 LC 1232</v>
          </cell>
          <cell r="B279">
            <v>39035000</v>
          </cell>
        </row>
        <row r="280">
          <cell r="A280" t="str">
            <v>AK 45 197 75 LC 1233</v>
          </cell>
          <cell r="B280">
            <v>54306000</v>
          </cell>
        </row>
        <row r="281">
          <cell r="A281" t="str">
            <v>AK 45 197 75 LC 1234</v>
          </cell>
          <cell r="B281">
            <v>39035000</v>
          </cell>
        </row>
        <row r="282">
          <cell r="A282" t="str">
            <v>AK 45 197 75 LC 1235</v>
          </cell>
          <cell r="B282">
            <v>39035000</v>
          </cell>
        </row>
        <row r="283">
          <cell r="A283" t="str">
            <v>AK 45 197 75 LC 1236</v>
          </cell>
          <cell r="B283">
            <v>39165000</v>
          </cell>
        </row>
        <row r="284">
          <cell r="A284" t="str">
            <v>AK 45 197 75 LC 1237</v>
          </cell>
          <cell r="B284">
            <v>39035000</v>
          </cell>
        </row>
        <row r="285">
          <cell r="A285" t="str">
            <v>AK 45 197 75 LC 1238</v>
          </cell>
          <cell r="B285">
            <v>39165000</v>
          </cell>
        </row>
        <row r="286">
          <cell r="A286" t="str">
            <v>AK 45 197 75 LC 1239</v>
          </cell>
          <cell r="B286">
            <v>39165000</v>
          </cell>
        </row>
        <row r="287">
          <cell r="A287" t="str">
            <v>AK 45 197 75 LC 1240</v>
          </cell>
          <cell r="B287">
            <v>39165000</v>
          </cell>
        </row>
        <row r="288">
          <cell r="A288" t="str">
            <v>AK 45 197 75 LC 1241</v>
          </cell>
          <cell r="B288">
            <v>39165000</v>
          </cell>
        </row>
        <row r="289">
          <cell r="A289" t="str">
            <v>AK 45 197 75 LC 1242</v>
          </cell>
          <cell r="B289">
            <v>39165000</v>
          </cell>
        </row>
        <row r="290">
          <cell r="A290" t="str">
            <v>AK 45 197 75 LC 1243</v>
          </cell>
          <cell r="B290">
            <v>39165000</v>
          </cell>
        </row>
        <row r="291">
          <cell r="A291" t="str">
            <v>AK 45 197 75 LC 1244</v>
          </cell>
          <cell r="B291">
            <v>39165000</v>
          </cell>
        </row>
        <row r="292">
          <cell r="A292" t="str">
            <v>AK 45 197 75 LC 1245</v>
          </cell>
          <cell r="B292">
            <v>39165000</v>
          </cell>
        </row>
        <row r="293">
          <cell r="A293" t="str">
            <v>AK 45 197 75 LC 1246</v>
          </cell>
          <cell r="B293">
            <v>39165000</v>
          </cell>
        </row>
        <row r="294">
          <cell r="A294" t="str">
            <v>AK 45 197 75 LC 1247</v>
          </cell>
          <cell r="B294">
            <v>39165000</v>
          </cell>
        </row>
        <row r="295">
          <cell r="A295" t="str">
            <v>AK 45 197 75 LC 1248</v>
          </cell>
          <cell r="B295">
            <v>39165000</v>
          </cell>
        </row>
        <row r="296">
          <cell r="A296" t="str">
            <v>AK 45 197 75 LC 1249</v>
          </cell>
          <cell r="B296">
            <v>39165000</v>
          </cell>
        </row>
        <row r="297">
          <cell r="A297" t="str">
            <v>AK 45 197 75 LC 1250</v>
          </cell>
          <cell r="B297">
            <v>67876000</v>
          </cell>
        </row>
        <row r="298">
          <cell r="A298" t="str">
            <v>AK 45 197 75 LC 1251</v>
          </cell>
          <cell r="B298">
            <v>82383000</v>
          </cell>
        </row>
        <row r="299">
          <cell r="A299" t="str">
            <v>AK 45 197 75 LC 1252</v>
          </cell>
          <cell r="B299">
            <v>73680000</v>
          </cell>
        </row>
        <row r="300">
          <cell r="A300" t="str">
            <v>AK 45 197 75 LC 1253</v>
          </cell>
          <cell r="B300">
            <v>102694000</v>
          </cell>
        </row>
        <row r="301">
          <cell r="A301" t="str">
            <v>AK 45 197 75 LC 1254</v>
          </cell>
          <cell r="B301">
            <v>102730000</v>
          </cell>
        </row>
        <row r="302">
          <cell r="A302" t="str">
            <v>AK 45 197 75 LC 1255</v>
          </cell>
          <cell r="B302">
            <v>39165000</v>
          </cell>
        </row>
        <row r="303">
          <cell r="A303" t="str">
            <v>AK 45 197 75 LC 1256</v>
          </cell>
          <cell r="B303">
            <v>73680000</v>
          </cell>
        </row>
        <row r="304">
          <cell r="A304" t="str">
            <v>AK 45 197 75 LC 1257</v>
          </cell>
          <cell r="B304">
            <v>39165000</v>
          </cell>
        </row>
        <row r="305">
          <cell r="A305" t="str">
            <v>AK 45 197 75 LC 1260</v>
          </cell>
          <cell r="B305">
            <v>49432000</v>
          </cell>
        </row>
        <row r="306">
          <cell r="A306" t="str">
            <v>AK 45 197 75 LC 1261</v>
          </cell>
          <cell r="B306">
            <v>39165000</v>
          </cell>
        </row>
        <row r="307">
          <cell r="A307" t="str">
            <v>AK 45 197 75 LC 1262</v>
          </cell>
          <cell r="B307">
            <v>72793000</v>
          </cell>
        </row>
        <row r="308">
          <cell r="A308" t="str">
            <v>AK 45 197 75 LC 1263</v>
          </cell>
          <cell r="B308">
            <v>39165000</v>
          </cell>
        </row>
        <row r="309">
          <cell r="A309" t="str">
            <v>AK 45 197 75 LC 1264</v>
          </cell>
          <cell r="B309">
            <v>73680000</v>
          </cell>
        </row>
        <row r="310">
          <cell r="A310" t="str">
            <v>AK 45 197 75 LC 1265</v>
          </cell>
          <cell r="B310">
            <v>102509000</v>
          </cell>
        </row>
        <row r="311">
          <cell r="A311" t="str">
            <v>AK 45 197 75 LC 1266</v>
          </cell>
          <cell r="B311">
            <v>39165000</v>
          </cell>
        </row>
        <row r="312">
          <cell r="A312" t="str">
            <v>AK 45 197 75 LC 1267</v>
          </cell>
          <cell r="B312">
            <v>73680000</v>
          </cell>
        </row>
        <row r="313">
          <cell r="A313" t="str">
            <v>AK 45 197 75 LC 1268</v>
          </cell>
          <cell r="B313">
            <v>39035000</v>
          </cell>
        </row>
        <row r="314">
          <cell r="A314" t="str">
            <v>AK 45 197 75 LC 1269</v>
          </cell>
          <cell r="B314">
            <v>73680000</v>
          </cell>
        </row>
        <row r="315">
          <cell r="A315" t="str">
            <v>AK 45 197 75 LC 1270</v>
          </cell>
          <cell r="B315">
            <v>39035000</v>
          </cell>
        </row>
        <row r="316">
          <cell r="A316" t="str">
            <v>AK 45 197 75 LC 1271</v>
          </cell>
          <cell r="B316">
            <v>73680000</v>
          </cell>
        </row>
        <row r="317">
          <cell r="A317" t="str">
            <v>AK 45 197 75 LC 1272</v>
          </cell>
          <cell r="B317">
            <v>39035000</v>
          </cell>
        </row>
        <row r="318">
          <cell r="A318" t="str">
            <v>AK 45 197 75 LC 1273</v>
          </cell>
          <cell r="B318">
            <v>73680000</v>
          </cell>
        </row>
        <row r="319">
          <cell r="A319" t="str">
            <v>AK 45 197 75 LC 1274</v>
          </cell>
          <cell r="B319">
            <v>39165000</v>
          </cell>
        </row>
        <row r="320">
          <cell r="A320" t="str">
            <v>AK 45 197 75 LC 1275</v>
          </cell>
          <cell r="B320">
            <v>73680000</v>
          </cell>
        </row>
        <row r="321">
          <cell r="A321" t="str">
            <v>AK 45 197 75 LC 1276</v>
          </cell>
          <cell r="B321">
            <v>73680000</v>
          </cell>
        </row>
        <row r="322">
          <cell r="A322" t="str">
            <v>AK 45 197 75 LC 1277</v>
          </cell>
          <cell r="B322">
            <v>39165000</v>
          </cell>
        </row>
        <row r="323">
          <cell r="A323" t="str">
            <v>AK 45 197 75 LC 1278</v>
          </cell>
          <cell r="B323">
            <v>73680000</v>
          </cell>
        </row>
        <row r="324">
          <cell r="A324" t="str">
            <v>AK 45 197 75 LC 1279</v>
          </cell>
          <cell r="B324">
            <v>39165000</v>
          </cell>
        </row>
        <row r="325">
          <cell r="A325" t="str">
            <v>AK 45 197 75 LC 1280</v>
          </cell>
          <cell r="B325">
            <v>73680000</v>
          </cell>
        </row>
        <row r="326">
          <cell r="A326" t="str">
            <v>AK 45 197 75 LC 1281</v>
          </cell>
          <cell r="B326">
            <v>73680000</v>
          </cell>
        </row>
        <row r="327">
          <cell r="A327" t="str">
            <v>AK 45 197 75 LC 1282</v>
          </cell>
          <cell r="B327">
            <v>39165000</v>
          </cell>
        </row>
        <row r="328">
          <cell r="A328" t="str">
            <v>AK 45 197 75 LC 1283</v>
          </cell>
          <cell r="B328">
            <v>73680000</v>
          </cell>
        </row>
        <row r="329">
          <cell r="A329" t="str">
            <v>AK 45 197 75 LC 1284</v>
          </cell>
          <cell r="B329">
            <v>39165000</v>
          </cell>
        </row>
        <row r="330">
          <cell r="A330" t="str">
            <v>AK 45 197 75 LC 1285</v>
          </cell>
          <cell r="B330">
            <v>73680000</v>
          </cell>
        </row>
        <row r="331">
          <cell r="A331" t="str">
            <v>AK 45 197 75 LC 1286</v>
          </cell>
          <cell r="B331">
            <v>73680000</v>
          </cell>
        </row>
        <row r="332">
          <cell r="A332" t="str">
            <v>AK 45 197 75 LC 1288</v>
          </cell>
          <cell r="B332">
            <v>73680000</v>
          </cell>
        </row>
        <row r="333">
          <cell r="A333" t="str">
            <v>AK 45 197 75 LC 1289</v>
          </cell>
          <cell r="B333">
            <v>39035000</v>
          </cell>
        </row>
        <row r="334">
          <cell r="A334" t="str">
            <v>AK 45 197 75 LC 1290</v>
          </cell>
          <cell r="B334">
            <v>73680000</v>
          </cell>
        </row>
        <row r="335">
          <cell r="A335" t="str">
            <v>AK 45 197 75 LC 1291</v>
          </cell>
          <cell r="B335">
            <v>39035000</v>
          </cell>
        </row>
        <row r="336">
          <cell r="A336" t="str">
            <v>AK 45 197 75 LC 1292</v>
          </cell>
          <cell r="B336">
            <v>73680000</v>
          </cell>
        </row>
        <row r="337">
          <cell r="A337" t="str">
            <v>AK 45 197 75 LC 1293</v>
          </cell>
          <cell r="B337">
            <v>39035000</v>
          </cell>
        </row>
        <row r="338">
          <cell r="A338" t="str">
            <v>AK 45 197 75 LC 1294</v>
          </cell>
          <cell r="B338">
            <v>73680000</v>
          </cell>
        </row>
        <row r="339">
          <cell r="A339" t="str">
            <v>AK 45 197 75 LC 1295</v>
          </cell>
          <cell r="B339">
            <v>39165000</v>
          </cell>
        </row>
        <row r="340">
          <cell r="A340" t="str">
            <v>AK 45 197 75 LC 1296</v>
          </cell>
          <cell r="B340">
            <v>73680000</v>
          </cell>
        </row>
        <row r="341">
          <cell r="A341" t="str">
            <v>AK 45 197 75 LC 1297</v>
          </cell>
          <cell r="B341">
            <v>112050000</v>
          </cell>
        </row>
        <row r="342">
          <cell r="A342" t="str">
            <v>AK 45 197 75 LC 1298</v>
          </cell>
          <cell r="B342">
            <v>82383000</v>
          </cell>
        </row>
        <row r="343">
          <cell r="A343" t="str">
            <v>AK 45 197 75 LC 1299</v>
          </cell>
          <cell r="B343">
            <v>72666000</v>
          </cell>
        </row>
        <row r="344">
          <cell r="A344" t="str">
            <v>AK 45 197 75 LC 1300</v>
          </cell>
          <cell r="B344">
            <v>82572000</v>
          </cell>
        </row>
        <row r="345">
          <cell r="A345" t="str">
            <v>AK 45 197 75 LC 1302</v>
          </cell>
          <cell r="B345">
            <v>63648000</v>
          </cell>
        </row>
        <row r="346">
          <cell r="A346" t="str">
            <v>AK 45 197 75 LC 1303</v>
          </cell>
          <cell r="B346">
            <v>63648000</v>
          </cell>
        </row>
        <row r="347">
          <cell r="A347" t="str">
            <v>AK 45 197 75 LC 1304</v>
          </cell>
          <cell r="B347">
            <v>82383000</v>
          </cell>
        </row>
        <row r="348">
          <cell r="A348" t="str">
            <v>AK 45 197 75 LC 1305</v>
          </cell>
          <cell r="B348">
            <v>82383000</v>
          </cell>
        </row>
        <row r="349">
          <cell r="A349" t="str">
            <v>AK 45 197 75 LC 1307</v>
          </cell>
          <cell r="B349">
            <v>39165000</v>
          </cell>
        </row>
        <row r="350">
          <cell r="A350" t="str">
            <v>AK 45 197 75 LC 1308</v>
          </cell>
          <cell r="B350">
            <v>73680000</v>
          </cell>
        </row>
        <row r="351">
          <cell r="A351" t="str">
            <v>AK 45 197 75 LC 1309</v>
          </cell>
          <cell r="B351">
            <v>39035000</v>
          </cell>
        </row>
        <row r="352">
          <cell r="A352" t="str">
            <v>AK 45 197 75 LC 1310</v>
          </cell>
          <cell r="B352">
            <v>73680000</v>
          </cell>
        </row>
        <row r="353">
          <cell r="A353" t="str">
            <v>AK 45 197 75 LC 1311</v>
          </cell>
          <cell r="B353">
            <v>39035000</v>
          </cell>
        </row>
        <row r="354">
          <cell r="A354" t="str">
            <v>AK 45 197 75 LC 1312</v>
          </cell>
          <cell r="B354">
            <v>73680000</v>
          </cell>
        </row>
        <row r="355">
          <cell r="A355" t="str">
            <v>AK 45 197 75 LC 1313</v>
          </cell>
          <cell r="B355">
            <v>39035000</v>
          </cell>
        </row>
        <row r="356">
          <cell r="A356" t="str">
            <v>AK 45 197 75 LC 1314</v>
          </cell>
          <cell r="B356">
            <v>73680000</v>
          </cell>
        </row>
        <row r="357">
          <cell r="A357" t="str">
            <v>AK 45 197 75 LC 1315</v>
          </cell>
          <cell r="B357">
            <v>39165000</v>
          </cell>
        </row>
        <row r="358">
          <cell r="A358" t="str">
            <v>AK 45 197 75 LC 1316</v>
          </cell>
          <cell r="B358">
            <v>73680000</v>
          </cell>
        </row>
        <row r="359">
          <cell r="A359" t="str">
            <v>AK 45 197 75 LC 1317</v>
          </cell>
          <cell r="B359">
            <v>73680000</v>
          </cell>
        </row>
        <row r="360">
          <cell r="A360" t="str">
            <v>AK 45 197 75 LC 1318</v>
          </cell>
          <cell r="B360">
            <v>39165000</v>
          </cell>
        </row>
        <row r="361">
          <cell r="A361" t="str">
            <v>AK 45 197 75 LC 1319</v>
          </cell>
          <cell r="B361">
            <v>73680000</v>
          </cell>
        </row>
        <row r="362">
          <cell r="A362" t="str">
            <v>AK 45 197 75 LC 1320</v>
          </cell>
          <cell r="B362">
            <v>39165000</v>
          </cell>
        </row>
        <row r="363">
          <cell r="A363" t="str">
            <v>AK 45 197 75 LC 1321</v>
          </cell>
          <cell r="B363">
            <v>73680000</v>
          </cell>
        </row>
        <row r="364">
          <cell r="A364" t="str">
            <v>AK 45 197 75 LC 1322</v>
          </cell>
          <cell r="B364">
            <v>73680000</v>
          </cell>
        </row>
        <row r="365">
          <cell r="A365" t="str">
            <v>AK 45 197 75 LC 1323</v>
          </cell>
          <cell r="B365">
            <v>39165000</v>
          </cell>
        </row>
        <row r="366">
          <cell r="A366" t="str">
            <v>AK 45 197 75 LC 1324</v>
          </cell>
          <cell r="B366">
            <v>73680000</v>
          </cell>
        </row>
        <row r="367">
          <cell r="A367" t="str">
            <v>AK 45 197 75 LC 1325</v>
          </cell>
          <cell r="B367">
            <v>39165000</v>
          </cell>
        </row>
        <row r="368">
          <cell r="A368" t="str">
            <v>AK 45 197 75 LC 1326</v>
          </cell>
          <cell r="B368">
            <v>73680000</v>
          </cell>
        </row>
        <row r="369">
          <cell r="A369" t="str">
            <v>AK 45 197 75 LC 1327</v>
          </cell>
          <cell r="B369">
            <v>73680000</v>
          </cell>
        </row>
        <row r="370">
          <cell r="A370" t="str">
            <v>AK 45 197 75 LC 1328</v>
          </cell>
          <cell r="B370">
            <v>39165000</v>
          </cell>
        </row>
        <row r="371">
          <cell r="A371" t="str">
            <v>AK 45 197 75 LC 1329</v>
          </cell>
          <cell r="B371">
            <v>73680000</v>
          </cell>
        </row>
        <row r="372">
          <cell r="A372" t="str">
            <v>AK 45 197 75 LC 1331</v>
          </cell>
          <cell r="B372">
            <v>73680000</v>
          </cell>
        </row>
        <row r="373">
          <cell r="A373" t="str">
            <v>AK 45 197 75 LC 1332</v>
          </cell>
          <cell r="B373">
            <v>39035000</v>
          </cell>
        </row>
        <row r="374">
          <cell r="A374" t="str">
            <v>AK 45 197 75 LC 1333</v>
          </cell>
          <cell r="B374">
            <v>73680000</v>
          </cell>
        </row>
        <row r="375">
          <cell r="A375" t="str">
            <v>AK 45 197 75 LC 1334</v>
          </cell>
          <cell r="B375">
            <v>39035000</v>
          </cell>
        </row>
        <row r="376">
          <cell r="A376" t="str">
            <v>AK 45 197 75 LC 1335</v>
          </cell>
          <cell r="B376">
            <v>73680000</v>
          </cell>
        </row>
        <row r="377">
          <cell r="A377" t="str">
            <v>AK 45 197 75 LC 1336</v>
          </cell>
          <cell r="B377">
            <v>39165000</v>
          </cell>
        </row>
        <row r="378">
          <cell r="A378" t="str">
            <v>AK 45 197 75 LC 1337</v>
          </cell>
          <cell r="B378">
            <v>73680000</v>
          </cell>
        </row>
        <row r="379">
          <cell r="A379" t="str">
            <v>AK 45 197 75 LC 1338</v>
          </cell>
          <cell r="B379">
            <v>102509000</v>
          </cell>
        </row>
        <row r="380">
          <cell r="A380" t="str">
            <v>AK 45 197 75 LC 1339</v>
          </cell>
          <cell r="B380">
            <v>39165000</v>
          </cell>
        </row>
        <row r="381">
          <cell r="A381" t="str">
            <v>AK 45 197 75 LC 1340</v>
          </cell>
          <cell r="B381">
            <v>73680000</v>
          </cell>
        </row>
        <row r="382">
          <cell r="A382" t="str">
            <v>AK 45 197 75 LC 1341</v>
          </cell>
          <cell r="B382">
            <v>39165000</v>
          </cell>
        </row>
        <row r="383">
          <cell r="A383" t="str">
            <v>AK 45 197 75 LC 1343</v>
          </cell>
          <cell r="B383">
            <v>49432000</v>
          </cell>
        </row>
        <row r="384">
          <cell r="A384" t="str">
            <v>AK 45 197 75 LC 1344</v>
          </cell>
          <cell r="B384">
            <v>49432000</v>
          </cell>
        </row>
        <row r="385">
          <cell r="A385" t="str">
            <v>AK 45 197 75 LC 1345</v>
          </cell>
          <cell r="B385">
            <v>39165000</v>
          </cell>
        </row>
        <row r="386">
          <cell r="A386" t="str">
            <v>AK 45 197 75 LC 1346</v>
          </cell>
          <cell r="B386">
            <v>72793000</v>
          </cell>
        </row>
        <row r="387">
          <cell r="A387" t="str">
            <v>AK 45 197 75 LC 1348</v>
          </cell>
          <cell r="B387">
            <v>73680000</v>
          </cell>
        </row>
        <row r="388">
          <cell r="A388" t="str">
            <v>AK 45 197 75 LC 1349</v>
          </cell>
          <cell r="B388">
            <v>59037000</v>
          </cell>
        </row>
        <row r="389">
          <cell r="A389" t="str">
            <v>AK 45 197 75 LC 1350</v>
          </cell>
          <cell r="B389">
            <v>39361000</v>
          </cell>
        </row>
        <row r="390">
          <cell r="A390" t="str">
            <v>AK 45 197 75 LC 1351</v>
          </cell>
          <cell r="B390">
            <v>39296000</v>
          </cell>
        </row>
        <row r="391">
          <cell r="A391" t="str">
            <v>AK 45 197 75 LC 1352</v>
          </cell>
          <cell r="B391">
            <v>39426000</v>
          </cell>
        </row>
        <row r="392">
          <cell r="A392" t="str">
            <v>AK 45 197 75 LC 1353</v>
          </cell>
          <cell r="B392">
            <v>39165000</v>
          </cell>
        </row>
        <row r="393">
          <cell r="A393" t="str">
            <v>AK 45 197 75 LC 1354</v>
          </cell>
          <cell r="B393">
            <v>39165000</v>
          </cell>
        </row>
        <row r="394">
          <cell r="A394" t="str">
            <v>AK 45 197 75 LC 1355</v>
          </cell>
          <cell r="B394">
            <v>39426000</v>
          </cell>
        </row>
        <row r="395">
          <cell r="A395" t="str">
            <v>AK 45 197 75 LC 1356</v>
          </cell>
          <cell r="B395">
            <v>34475000</v>
          </cell>
        </row>
        <row r="396">
          <cell r="A396" t="str">
            <v>AK 45 197 75 LC 1357</v>
          </cell>
          <cell r="B396">
            <v>34475000</v>
          </cell>
        </row>
        <row r="397">
          <cell r="A397" t="str">
            <v>AK 45 197 75 LC 1358</v>
          </cell>
          <cell r="B397">
            <v>34475000</v>
          </cell>
        </row>
        <row r="398">
          <cell r="A398" t="str">
            <v>AK 45 197 75 LC 1359</v>
          </cell>
          <cell r="B398">
            <v>34475000</v>
          </cell>
        </row>
        <row r="399">
          <cell r="A399" t="str">
            <v>AK 45 197 75 LC 1360</v>
          </cell>
          <cell r="B399">
            <v>34475000</v>
          </cell>
        </row>
        <row r="400">
          <cell r="A400" t="str">
            <v>AK 45 197 75 LC 1361</v>
          </cell>
          <cell r="B400">
            <v>34475000</v>
          </cell>
        </row>
        <row r="401">
          <cell r="A401" t="str">
            <v>AK 45 197 75 LC 1362</v>
          </cell>
          <cell r="B401">
            <v>48397000</v>
          </cell>
        </row>
        <row r="402">
          <cell r="A402" t="str">
            <v>AK 45 197 75 LC 1363</v>
          </cell>
          <cell r="B402">
            <v>48397000</v>
          </cell>
        </row>
        <row r="403">
          <cell r="A403" t="str">
            <v>AK 45 197 75 LC 202</v>
          </cell>
          <cell r="B403">
            <v>736919000</v>
          </cell>
        </row>
        <row r="404">
          <cell r="A404" t="str">
            <v>AK 45 197 75 LC 2001</v>
          </cell>
          <cell r="B404">
            <v>46338000</v>
          </cell>
        </row>
        <row r="405">
          <cell r="A405" t="str">
            <v>AK 45 197 75 LC 2002</v>
          </cell>
          <cell r="B405">
            <v>46338000</v>
          </cell>
        </row>
        <row r="406">
          <cell r="A406" t="str">
            <v>AK 45 197 75 LC 2003</v>
          </cell>
          <cell r="B406">
            <v>32430000</v>
          </cell>
        </row>
        <row r="407">
          <cell r="A407" t="str">
            <v>AK 45 197 75 LC 2004</v>
          </cell>
          <cell r="B407">
            <v>32430000</v>
          </cell>
        </row>
        <row r="408">
          <cell r="A408" t="str">
            <v>AK 45 197 75 LC 2005</v>
          </cell>
          <cell r="B408">
            <v>37023000</v>
          </cell>
        </row>
        <row r="409">
          <cell r="A409" t="str">
            <v>AK 45 197 75 LC 2006</v>
          </cell>
          <cell r="B409">
            <v>32430000</v>
          </cell>
        </row>
        <row r="410">
          <cell r="A410" t="str">
            <v>AK 45 197 75 LC 2007</v>
          </cell>
          <cell r="B410">
            <v>32430000</v>
          </cell>
        </row>
        <row r="411">
          <cell r="A411" t="str">
            <v>AK 45 197 75 LC 2008</v>
          </cell>
          <cell r="B411">
            <v>37027000</v>
          </cell>
        </row>
        <row r="412">
          <cell r="A412" t="str">
            <v>AK 45 197 75 LC 2010</v>
          </cell>
          <cell r="B412">
            <v>37024000</v>
          </cell>
        </row>
        <row r="413">
          <cell r="A413" t="str">
            <v>AK 45 197 75 LC 2011</v>
          </cell>
          <cell r="B413">
            <v>37024000</v>
          </cell>
        </row>
        <row r="414">
          <cell r="A414" t="str">
            <v>AK 45 197 75 LC 2012</v>
          </cell>
          <cell r="B414">
            <v>46337000</v>
          </cell>
        </row>
        <row r="415">
          <cell r="A415" t="str">
            <v>AK 45 197 75 LC 2013</v>
          </cell>
          <cell r="B415">
            <v>55667000</v>
          </cell>
        </row>
        <row r="416">
          <cell r="A416" t="str">
            <v>AK 45 197 75 LC 2014</v>
          </cell>
          <cell r="B416">
            <v>69583000</v>
          </cell>
        </row>
        <row r="417">
          <cell r="A417" t="str">
            <v>AK 45 197 75 LC 2015</v>
          </cell>
          <cell r="B417">
            <v>37024000</v>
          </cell>
        </row>
        <row r="418">
          <cell r="A418" t="str">
            <v>AK 45 197 75 LC 2016</v>
          </cell>
          <cell r="B418">
            <v>69574000</v>
          </cell>
        </row>
        <row r="419">
          <cell r="A419" t="str">
            <v>AK 45 197 75 LC 2017</v>
          </cell>
          <cell r="B419">
            <v>46349000</v>
          </cell>
        </row>
        <row r="420">
          <cell r="A420" t="str">
            <v>AK 45 197 75 LC 2018</v>
          </cell>
          <cell r="B420">
            <v>46349000</v>
          </cell>
        </row>
        <row r="421">
          <cell r="A421" t="str">
            <v>AK 45 197 75 LC 2019</v>
          </cell>
          <cell r="B421">
            <v>37024000</v>
          </cell>
        </row>
        <row r="422">
          <cell r="A422" t="str">
            <v>AK 45 197 75 LC 2020</v>
          </cell>
          <cell r="B422">
            <v>69574000</v>
          </cell>
        </row>
        <row r="423">
          <cell r="A423" t="str">
            <v>AK 45 197 75 LC 2021</v>
          </cell>
          <cell r="B423">
            <v>37024000</v>
          </cell>
        </row>
        <row r="424">
          <cell r="A424" t="str">
            <v>AK 45 197 75 LC 2022</v>
          </cell>
          <cell r="B424">
            <v>69583000</v>
          </cell>
        </row>
        <row r="425">
          <cell r="A425" t="str">
            <v>AK 45 197 75 LC 2023</v>
          </cell>
          <cell r="B425">
            <v>97286000</v>
          </cell>
        </row>
        <row r="426">
          <cell r="A426" t="str">
            <v>AK 45 197 75 LC 2024</v>
          </cell>
          <cell r="B426">
            <v>37024000</v>
          </cell>
        </row>
        <row r="427">
          <cell r="A427" t="str">
            <v>AK 45 197 75 LC 2025</v>
          </cell>
          <cell r="B427">
            <v>69583000</v>
          </cell>
        </row>
        <row r="428">
          <cell r="A428" t="str">
            <v>AK 45 197 75 LC 2026</v>
          </cell>
          <cell r="B428">
            <v>37023000</v>
          </cell>
        </row>
        <row r="429">
          <cell r="A429" t="str">
            <v>AK 45 197 75 LC 2027</v>
          </cell>
          <cell r="B429">
            <v>69583000</v>
          </cell>
        </row>
        <row r="430">
          <cell r="A430" t="str">
            <v>AK 45 197 75 LC 2028</v>
          </cell>
          <cell r="B430">
            <v>37023000</v>
          </cell>
        </row>
        <row r="431">
          <cell r="A431" t="str">
            <v>AK 45 197 75 LC 2029</v>
          </cell>
          <cell r="B431">
            <v>69583000</v>
          </cell>
        </row>
        <row r="432">
          <cell r="A432" t="str">
            <v>AK 45 197 75 LC 2030</v>
          </cell>
          <cell r="B432">
            <v>37023000</v>
          </cell>
        </row>
        <row r="433">
          <cell r="A433" t="str">
            <v>AK 45 197 75 LC 2031</v>
          </cell>
          <cell r="B433">
            <v>69583000</v>
          </cell>
        </row>
        <row r="434">
          <cell r="A434" t="str">
            <v>AK 45 197 75 LC 2032</v>
          </cell>
          <cell r="B434">
            <v>37024000</v>
          </cell>
        </row>
        <row r="435">
          <cell r="A435" t="str">
            <v>AK 45 197 75 LC 2033</v>
          </cell>
          <cell r="B435">
            <v>69583000</v>
          </cell>
        </row>
        <row r="436">
          <cell r="A436" t="str">
            <v>AK 45 197 75 LC 2036</v>
          </cell>
          <cell r="B436">
            <v>69583000</v>
          </cell>
        </row>
        <row r="437">
          <cell r="A437" t="str">
            <v>AK 45 197 75 LC 2037</v>
          </cell>
          <cell r="B437">
            <v>37024000</v>
          </cell>
        </row>
        <row r="438">
          <cell r="A438" t="str">
            <v>AK 45 197 75 LC 2038</v>
          </cell>
          <cell r="B438">
            <v>69583000</v>
          </cell>
        </row>
        <row r="439">
          <cell r="A439" t="str">
            <v>AK 45 197 75 LC 2039</v>
          </cell>
          <cell r="B439">
            <v>69583000</v>
          </cell>
        </row>
        <row r="440">
          <cell r="A440" t="str">
            <v>AK 45 197 75 LC 2041</v>
          </cell>
          <cell r="B440">
            <v>69583000</v>
          </cell>
        </row>
        <row r="441">
          <cell r="A441" t="str">
            <v>AK 45 197 75 LC 2042</v>
          </cell>
          <cell r="B441">
            <v>37024000</v>
          </cell>
        </row>
        <row r="442">
          <cell r="A442" t="str">
            <v>AK 45 197 75 LC 2043</v>
          </cell>
          <cell r="B442">
            <v>69583000</v>
          </cell>
        </row>
        <row r="443">
          <cell r="A443" t="str">
            <v>AK 45 197 75 LC 2044</v>
          </cell>
          <cell r="B443">
            <v>69583000</v>
          </cell>
        </row>
        <row r="444">
          <cell r="A444" t="str">
            <v>AK 45 197 75 LC 2045</v>
          </cell>
          <cell r="B444">
            <v>37024000</v>
          </cell>
        </row>
        <row r="445">
          <cell r="A445" t="str">
            <v>AK 45 197 75 LC 2046</v>
          </cell>
          <cell r="B445">
            <v>69583000</v>
          </cell>
        </row>
        <row r="446">
          <cell r="A446" t="str">
            <v>AK 45 197 75 LC 2047</v>
          </cell>
          <cell r="B446">
            <v>37023000</v>
          </cell>
        </row>
        <row r="447">
          <cell r="A447" t="str">
            <v>AK 45 197 75 LC 2048</v>
          </cell>
          <cell r="B447">
            <v>69583000</v>
          </cell>
        </row>
        <row r="448">
          <cell r="A448" t="str">
            <v>AK 45 197 75 LC 2049</v>
          </cell>
          <cell r="B448">
            <v>37023000</v>
          </cell>
        </row>
        <row r="449">
          <cell r="A449" t="str">
            <v>AK 45 197 75 LC 2050</v>
          </cell>
          <cell r="B449">
            <v>69583000</v>
          </cell>
        </row>
        <row r="450">
          <cell r="A450" t="str">
            <v>AK 45 197 75 LC 2051</v>
          </cell>
          <cell r="B450">
            <v>37023000</v>
          </cell>
        </row>
        <row r="451">
          <cell r="A451" t="str">
            <v>AK 45 197 75 LC 2052</v>
          </cell>
          <cell r="B451">
            <v>69583000</v>
          </cell>
        </row>
        <row r="452">
          <cell r="A452" t="str">
            <v>AK 45 197 75 LC 2053</v>
          </cell>
          <cell r="B452">
            <v>37024000</v>
          </cell>
        </row>
        <row r="453">
          <cell r="A453" t="str">
            <v>AK 45 197 75 LC 2054</v>
          </cell>
          <cell r="B453">
            <v>69583000</v>
          </cell>
        </row>
        <row r="454">
          <cell r="A454" t="str">
            <v>AK 45 197 75 LC 2055</v>
          </cell>
          <cell r="B454">
            <v>102014000</v>
          </cell>
        </row>
        <row r="455">
          <cell r="A455" t="str">
            <v>AK 45 197 75 LC 2056</v>
          </cell>
          <cell r="B455">
            <v>69585000</v>
          </cell>
        </row>
        <row r="456">
          <cell r="A456" t="str">
            <v>AK 45 197 75 LC 2057</v>
          </cell>
          <cell r="B456">
            <v>69573000</v>
          </cell>
        </row>
        <row r="457">
          <cell r="A457" t="str">
            <v>AK 45 197 75 LC 2058</v>
          </cell>
          <cell r="B457">
            <v>78766000</v>
          </cell>
        </row>
        <row r="458">
          <cell r="A458" t="str">
            <v>AK 45 197 75 LC 2059</v>
          </cell>
          <cell r="B458">
            <v>69585000</v>
          </cell>
        </row>
        <row r="459">
          <cell r="A459" t="str">
            <v>AK 45 197 75 LC 2060</v>
          </cell>
          <cell r="B459">
            <v>64849000</v>
          </cell>
        </row>
        <row r="460">
          <cell r="A460" t="str">
            <v>AK 45 197 75 LC 2061</v>
          </cell>
          <cell r="B460">
            <v>64849000</v>
          </cell>
        </row>
        <row r="461">
          <cell r="A461" t="str">
            <v>AK 45 197 75 LC 2063</v>
          </cell>
          <cell r="B461">
            <v>69585000</v>
          </cell>
        </row>
        <row r="462">
          <cell r="A462" t="str">
            <v>AK 45 197 75 LC 2064</v>
          </cell>
          <cell r="B462">
            <v>106606000</v>
          </cell>
        </row>
        <row r="463">
          <cell r="A463" t="str">
            <v>AK 45 197 75 LC 2065</v>
          </cell>
          <cell r="B463">
            <v>37024000</v>
          </cell>
        </row>
        <row r="464">
          <cell r="A464" t="str">
            <v>AK 45 197 75 LC 2066</v>
          </cell>
          <cell r="B464">
            <v>69583000</v>
          </cell>
        </row>
        <row r="465">
          <cell r="A465" t="str">
            <v>AK 45 197 75 LC 2067</v>
          </cell>
          <cell r="B465">
            <v>37023000</v>
          </cell>
        </row>
        <row r="466">
          <cell r="A466" t="str">
            <v>AK 45 197 75 LC 2068</v>
          </cell>
          <cell r="B466">
            <v>69583000</v>
          </cell>
        </row>
        <row r="467">
          <cell r="A467" t="str">
            <v>AK 45 197 75 LC 2069</v>
          </cell>
          <cell r="B467">
            <v>37023000</v>
          </cell>
        </row>
        <row r="468">
          <cell r="A468" t="str">
            <v>AK 45 197 75 LC 2070</v>
          </cell>
          <cell r="B468">
            <v>69583000</v>
          </cell>
        </row>
        <row r="469">
          <cell r="A469" t="str">
            <v>AK 45 197 75 LC 2071</v>
          </cell>
          <cell r="B469">
            <v>37023000</v>
          </cell>
        </row>
        <row r="470">
          <cell r="A470" t="str">
            <v>AK 45 197 75 LC 2072</v>
          </cell>
          <cell r="B470">
            <v>69583000</v>
          </cell>
        </row>
        <row r="471">
          <cell r="A471" t="str">
            <v>AK 45 197 75 LC 2073</v>
          </cell>
          <cell r="B471">
            <v>37024000</v>
          </cell>
        </row>
        <row r="472">
          <cell r="A472" t="str">
            <v>AK 45 197 75 LC 2074</v>
          </cell>
          <cell r="B472">
            <v>69583000</v>
          </cell>
        </row>
        <row r="473">
          <cell r="A473" t="str">
            <v>AK 45 197 75 LC 2075</v>
          </cell>
          <cell r="B473">
            <v>69583000</v>
          </cell>
        </row>
        <row r="474">
          <cell r="A474" t="str">
            <v>AK 45 197 75 LC 2076</v>
          </cell>
          <cell r="B474">
            <v>37024000</v>
          </cell>
        </row>
        <row r="475">
          <cell r="A475" t="str">
            <v>AK 45 197 75 LC 2077</v>
          </cell>
          <cell r="B475">
            <v>69583000</v>
          </cell>
        </row>
        <row r="476">
          <cell r="A476" t="str">
            <v>AK 45 197 75 LC 2078</v>
          </cell>
          <cell r="B476">
            <v>37024000</v>
          </cell>
        </row>
        <row r="477">
          <cell r="A477" t="str">
            <v>AK 45 197 75 LC 2079</v>
          </cell>
          <cell r="B477">
            <v>69583000</v>
          </cell>
        </row>
        <row r="478">
          <cell r="A478" t="str">
            <v>AK 45 197 75 LC 2080</v>
          </cell>
          <cell r="B478">
            <v>69583000</v>
          </cell>
        </row>
        <row r="479">
          <cell r="A479" t="str">
            <v>AK 45 197 75 LC 2081</v>
          </cell>
          <cell r="B479">
            <v>37024000</v>
          </cell>
        </row>
        <row r="480">
          <cell r="A480" t="str">
            <v>AK 45 197 75 LC 2082</v>
          </cell>
          <cell r="B480">
            <v>69583000</v>
          </cell>
        </row>
        <row r="481">
          <cell r="A481" t="str">
            <v>AK 45 197 75 LC 2083</v>
          </cell>
          <cell r="B481">
            <v>37024000</v>
          </cell>
        </row>
        <row r="482">
          <cell r="A482" t="str">
            <v>AK 45 197 75 LC 2084</v>
          </cell>
          <cell r="B482">
            <v>69583000</v>
          </cell>
        </row>
        <row r="483">
          <cell r="A483" t="str">
            <v>AK 45 197 75 LC 2085</v>
          </cell>
          <cell r="B483">
            <v>69583000</v>
          </cell>
        </row>
        <row r="484">
          <cell r="A484" t="str">
            <v>AK 45 197 75 LC 2086</v>
          </cell>
          <cell r="B484">
            <v>37024000</v>
          </cell>
        </row>
        <row r="485">
          <cell r="A485" t="str">
            <v>AK 45 197 75 LC 2087</v>
          </cell>
          <cell r="B485">
            <v>69583000</v>
          </cell>
        </row>
        <row r="486">
          <cell r="A486" t="str">
            <v>AK 45 197 75 LC 2088</v>
          </cell>
          <cell r="B486">
            <v>37023000</v>
          </cell>
        </row>
        <row r="487">
          <cell r="A487" t="str">
            <v>AK 45 197 75 LC 2089</v>
          </cell>
          <cell r="B487">
            <v>69583000</v>
          </cell>
        </row>
        <row r="488">
          <cell r="A488" t="str">
            <v>AK 45 197 75 LC 2090</v>
          </cell>
          <cell r="B488">
            <v>37023000</v>
          </cell>
        </row>
        <row r="489">
          <cell r="A489" t="str">
            <v>AK 45 197 75 LC 2091</v>
          </cell>
          <cell r="B489">
            <v>69583000</v>
          </cell>
        </row>
        <row r="490">
          <cell r="A490" t="str">
            <v>AK 45 197 75 LC 2092</v>
          </cell>
          <cell r="B490">
            <v>37023000</v>
          </cell>
        </row>
        <row r="491">
          <cell r="A491" t="str">
            <v>AK 45 197 75 LC 2093</v>
          </cell>
          <cell r="B491">
            <v>69583000</v>
          </cell>
        </row>
        <row r="492">
          <cell r="A492" t="str">
            <v>AK 45 197 75 LC 2094</v>
          </cell>
          <cell r="B492">
            <v>37024000</v>
          </cell>
        </row>
        <row r="493">
          <cell r="A493" t="str">
            <v>AK 45 197 75 LC 2095</v>
          </cell>
          <cell r="B493">
            <v>69583000</v>
          </cell>
        </row>
        <row r="494">
          <cell r="A494" t="str">
            <v>AK 45 197 75 LC 2096</v>
          </cell>
          <cell r="B494">
            <v>97286000</v>
          </cell>
        </row>
        <row r="495">
          <cell r="A495" t="str">
            <v>AK 45 197 75 LC 2097</v>
          </cell>
          <cell r="B495">
            <v>37024000</v>
          </cell>
        </row>
        <row r="496">
          <cell r="A496" t="str">
            <v>AK 45 197 75 LC 2098</v>
          </cell>
          <cell r="B496">
            <v>69583000</v>
          </cell>
        </row>
        <row r="497">
          <cell r="A497" t="str">
            <v>AK 45 197 75 LC 2099</v>
          </cell>
          <cell r="B497">
            <v>37024000</v>
          </cell>
        </row>
        <row r="498">
          <cell r="A498" t="str">
            <v>AK 45 197 75 LC 2100</v>
          </cell>
          <cell r="B498">
            <v>69574000</v>
          </cell>
        </row>
        <row r="499">
          <cell r="A499" t="str">
            <v>AK 45 197 75 LC 2101</v>
          </cell>
          <cell r="B499">
            <v>46348000</v>
          </cell>
        </row>
        <row r="500">
          <cell r="A500" t="str">
            <v>AK 45 197 75 LC 2102</v>
          </cell>
          <cell r="B500">
            <v>46349000</v>
          </cell>
        </row>
        <row r="501">
          <cell r="A501" t="str">
            <v>AK 45 197 75 LC 2103</v>
          </cell>
          <cell r="B501">
            <v>37024000</v>
          </cell>
        </row>
        <row r="502">
          <cell r="A502" t="str">
            <v>AK 45 197 75 LC 2104</v>
          </cell>
          <cell r="B502">
            <v>69510000</v>
          </cell>
        </row>
        <row r="503">
          <cell r="A503" t="str">
            <v>AK 45 197 75 LC 2106</v>
          </cell>
          <cell r="B503">
            <v>69583000</v>
          </cell>
        </row>
        <row r="504">
          <cell r="A504" t="str">
            <v>AK 45 197 75 LC 2109</v>
          </cell>
          <cell r="B504">
            <v>64851000</v>
          </cell>
        </row>
        <row r="505">
          <cell r="A505" t="str">
            <v>AK 45 197 75 LC 2110</v>
          </cell>
          <cell r="B505">
            <v>37024000</v>
          </cell>
        </row>
        <row r="506">
          <cell r="A506" t="str">
            <v>AK 45 197 75 LC 2111</v>
          </cell>
          <cell r="B506">
            <v>37024000</v>
          </cell>
        </row>
        <row r="507">
          <cell r="A507" t="str">
            <v>AK 45 197 75 LC 2112</v>
          </cell>
          <cell r="B507">
            <v>37024000</v>
          </cell>
        </row>
        <row r="508">
          <cell r="A508" t="str">
            <v>AK 45 197 75 LC 2113</v>
          </cell>
          <cell r="B508">
            <v>37024000</v>
          </cell>
        </row>
        <row r="509">
          <cell r="A509" t="str">
            <v>AK 45 197 75 LC 2114</v>
          </cell>
          <cell r="B509">
            <v>37024000</v>
          </cell>
        </row>
        <row r="510">
          <cell r="A510" t="str">
            <v>AK 45 197 75 LC 2115</v>
          </cell>
          <cell r="B510">
            <v>37024000</v>
          </cell>
        </row>
        <row r="511">
          <cell r="A511" t="str">
            <v>AK 45 197 75 LC 2116</v>
          </cell>
          <cell r="B511">
            <v>37024000</v>
          </cell>
        </row>
        <row r="512">
          <cell r="A512" t="str">
            <v>AK 45 197 75 LC 2117</v>
          </cell>
          <cell r="B512">
            <v>37024000</v>
          </cell>
        </row>
        <row r="513">
          <cell r="A513" t="str">
            <v>AK 45 197 75 LC 2118</v>
          </cell>
          <cell r="B513">
            <v>37024000</v>
          </cell>
        </row>
        <row r="514">
          <cell r="A514" t="str">
            <v>AK 45 197 75 LC 2119</v>
          </cell>
          <cell r="B514">
            <v>37024000</v>
          </cell>
        </row>
        <row r="515">
          <cell r="A515" t="str">
            <v>AK 45 197 75 LC 2120</v>
          </cell>
          <cell r="B515">
            <v>37024000</v>
          </cell>
        </row>
        <row r="516">
          <cell r="A516" t="str">
            <v>AK 45 197 75 LC 2121</v>
          </cell>
          <cell r="B516">
            <v>37023000</v>
          </cell>
        </row>
        <row r="517">
          <cell r="A517" t="str">
            <v>AK 45 197 75 LC 2122</v>
          </cell>
          <cell r="B517">
            <v>37023000</v>
          </cell>
        </row>
        <row r="518">
          <cell r="A518" t="str">
            <v>AK 45 197 75 LC 2123</v>
          </cell>
          <cell r="B518">
            <v>37023000</v>
          </cell>
        </row>
        <row r="519">
          <cell r="A519" t="str">
            <v>AK 45 197 75 LC 2124</v>
          </cell>
          <cell r="B519">
            <v>37024000</v>
          </cell>
        </row>
        <row r="520">
          <cell r="A520" t="str">
            <v>AK 45 197 75 LC 2125</v>
          </cell>
          <cell r="B520">
            <v>37024000</v>
          </cell>
        </row>
        <row r="521">
          <cell r="A521" t="str">
            <v>AK 45 197 75 LC 2126</v>
          </cell>
          <cell r="B521">
            <v>37024000</v>
          </cell>
        </row>
        <row r="522">
          <cell r="A522" t="str">
            <v>AK 45 197 75 LC 2127</v>
          </cell>
          <cell r="B522">
            <v>37024000</v>
          </cell>
        </row>
        <row r="523">
          <cell r="A523" t="str">
            <v>AK 45 197 75 LC 2128</v>
          </cell>
          <cell r="B523">
            <v>37024000</v>
          </cell>
        </row>
        <row r="524">
          <cell r="A524" t="str">
            <v>AK 45 197 75 LC 2129</v>
          </cell>
          <cell r="B524">
            <v>37024000</v>
          </cell>
        </row>
        <row r="525">
          <cell r="A525" t="str">
            <v>AK 45 197 75 LC 2130</v>
          </cell>
          <cell r="B525">
            <v>37023000</v>
          </cell>
        </row>
        <row r="526">
          <cell r="A526" t="str">
            <v>AK 45 197 75 LC 2131</v>
          </cell>
          <cell r="B526">
            <v>37023000</v>
          </cell>
        </row>
        <row r="527">
          <cell r="A527" t="str">
            <v>AK 45 197 75 LC 2132</v>
          </cell>
          <cell r="B527">
            <v>37023000</v>
          </cell>
        </row>
        <row r="528">
          <cell r="A528" t="str">
            <v>AK 45 197 75 LC 2133</v>
          </cell>
          <cell r="B528">
            <v>37024000</v>
          </cell>
        </row>
        <row r="529">
          <cell r="A529" t="str">
            <v>AK 45 197 75 LC 2134</v>
          </cell>
          <cell r="B529">
            <v>69585000</v>
          </cell>
        </row>
        <row r="530">
          <cell r="A530" t="str">
            <v>AK 45 197 75 LC 2135</v>
          </cell>
          <cell r="B530">
            <v>69585000</v>
          </cell>
        </row>
        <row r="531">
          <cell r="A531" t="str">
            <v>AK 45 197 75 LC 2136</v>
          </cell>
          <cell r="B531">
            <v>69585000</v>
          </cell>
        </row>
        <row r="532">
          <cell r="A532" t="str">
            <v>AK 45 197 75 LC 2137</v>
          </cell>
          <cell r="B532">
            <v>69585000</v>
          </cell>
        </row>
        <row r="533">
          <cell r="A533" t="str">
            <v>AK 45 197 75 LC 2138</v>
          </cell>
          <cell r="B533">
            <v>37024000</v>
          </cell>
        </row>
        <row r="534">
          <cell r="A534" t="str">
            <v>AK 45 197 75 LC 2139</v>
          </cell>
          <cell r="B534">
            <v>37023000</v>
          </cell>
        </row>
        <row r="535">
          <cell r="A535" t="str">
            <v>AK 45 197 75 LC 2140</v>
          </cell>
          <cell r="B535">
            <v>37023000</v>
          </cell>
        </row>
        <row r="536">
          <cell r="A536" t="str">
            <v>AK 45 197 75 LC 2141</v>
          </cell>
          <cell r="B536">
            <v>37023000</v>
          </cell>
        </row>
        <row r="537">
          <cell r="A537" t="str">
            <v>AK 45 197 75 LC 2142</v>
          </cell>
          <cell r="B537">
            <v>37024000</v>
          </cell>
        </row>
        <row r="538">
          <cell r="A538" t="str">
            <v>AK 45 197 75 LC 2144</v>
          </cell>
          <cell r="B538">
            <v>37024000</v>
          </cell>
        </row>
        <row r="539">
          <cell r="A539" t="str">
            <v>AK 45 197 75 LC 2145</v>
          </cell>
          <cell r="B539">
            <v>37024000</v>
          </cell>
        </row>
        <row r="540">
          <cell r="A540" t="str">
            <v>AK 45 197 75 LC 2146</v>
          </cell>
          <cell r="B540">
            <v>37024000</v>
          </cell>
        </row>
        <row r="541">
          <cell r="A541" t="str">
            <v>AK 45 197 75 LC 2147</v>
          </cell>
          <cell r="B541">
            <v>37024000</v>
          </cell>
        </row>
        <row r="542">
          <cell r="A542" t="str">
            <v>AK 45 197 75 LC 2148</v>
          </cell>
          <cell r="B542">
            <v>37023000</v>
          </cell>
        </row>
        <row r="543">
          <cell r="A543" t="str">
            <v>AK 45 197 75 LC 2149</v>
          </cell>
          <cell r="B543">
            <v>37023000</v>
          </cell>
        </row>
        <row r="544">
          <cell r="A544" t="str">
            <v>AK 45 197 75 LC 2150</v>
          </cell>
          <cell r="B544">
            <v>37023000</v>
          </cell>
        </row>
        <row r="545">
          <cell r="A545" t="str">
            <v>AK 45 197 75 LC 2151</v>
          </cell>
          <cell r="B545">
            <v>37024000</v>
          </cell>
        </row>
        <row r="546">
          <cell r="A546" t="str">
            <v>AK 45 197 75 LC 2152</v>
          </cell>
          <cell r="B546">
            <v>37024000</v>
          </cell>
        </row>
        <row r="547">
          <cell r="A547" t="str">
            <v>AK 45 197 75 LC 2153</v>
          </cell>
          <cell r="B547">
            <v>37024000</v>
          </cell>
        </row>
        <row r="548">
          <cell r="A548" t="str">
            <v>AK 45 197 75 LC 2154</v>
          </cell>
          <cell r="B548">
            <v>37024000</v>
          </cell>
        </row>
        <row r="549">
          <cell r="A549" t="str">
            <v>AK 45 197 75 LC 2155</v>
          </cell>
          <cell r="B549">
            <v>37024000</v>
          </cell>
        </row>
        <row r="550">
          <cell r="A550" t="str">
            <v>AK 45 197 75 LC 2156</v>
          </cell>
          <cell r="B550">
            <v>37024000</v>
          </cell>
        </row>
        <row r="551">
          <cell r="A551" t="str">
            <v>AK 45 197 75 LC 2157</v>
          </cell>
          <cell r="B551">
            <v>37024000</v>
          </cell>
        </row>
        <row r="552">
          <cell r="A552" t="str">
            <v>AK 45 197 75 LC 2158</v>
          </cell>
          <cell r="B552">
            <v>37024000</v>
          </cell>
        </row>
        <row r="553">
          <cell r="A553" t="str">
            <v>AK 45 197 75 LC 2161</v>
          </cell>
          <cell r="B553">
            <v>37024000</v>
          </cell>
        </row>
        <row r="554">
          <cell r="A554" t="str">
            <v>AK 45 197 75 LC 2162</v>
          </cell>
          <cell r="B554">
            <v>37024000</v>
          </cell>
        </row>
        <row r="555">
          <cell r="A555" t="str">
            <v>AK 45 197 75 LC 2163</v>
          </cell>
          <cell r="B555">
            <v>37024000</v>
          </cell>
        </row>
        <row r="556">
          <cell r="A556" t="str">
            <v>AK 45 197 75 LC 2164</v>
          </cell>
          <cell r="B556">
            <v>37024000</v>
          </cell>
        </row>
        <row r="557">
          <cell r="A557" t="str">
            <v>AK 45 197 75 LC 2165</v>
          </cell>
          <cell r="B557">
            <v>37024000</v>
          </cell>
        </row>
        <row r="558">
          <cell r="A558" t="str">
            <v>AK 45 197 75 LC 2166</v>
          </cell>
          <cell r="B558">
            <v>37024000</v>
          </cell>
        </row>
        <row r="559">
          <cell r="A559" t="str">
            <v>AK 45 197 75 LC 2167</v>
          </cell>
          <cell r="B559">
            <v>37024000</v>
          </cell>
        </row>
        <row r="560">
          <cell r="A560" t="str">
            <v>AK 45 197 75 LC 2168</v>
          </cell>
          <cell r="B560">
            <v>37024000</v>
          </cell>
        </row>
        <row r="561">
          <cell r="A561" t="str">
            <v>AK 45 197 75 LC 2169</v>
          </cell>
          <cell r="B561">
            <v>37023000</v>
          </cell>
        </row>
        <row r="562">
          <cell r="A562" t="str">
            <v>AK 45 197 75 LC 2170</v>
          </cell>
          <cell r="B562">
            <v>37023000</v>
          </cell>
        </row>
        <row r="563">
          <cell r="A563" t="str">
            <v>AK 45 197 75 LC 2171</v>
          </cell>
          <cell r="B563">
            <v>37023000</v>
          </cell>
        </row>
        <row r="564">
          <cell r="A564" t="str">
            <v>AK 45 197 75 LC 2172</v>
          </cell>
          <cell r="B564">
            <v>37024000</v>
          </cell>
        </row>
        <row r="565">
          <cell r="A565" t="str">
            <v>AK 45 197 75 LC 2173</v>
          </cell>
          <cell r="B565">
            <v>37024000</v>
          </cell>
        </row>
        <row r="566">
          <cell r="A566" t="str">
            <v>AK 45 197 75 LC 2174</v>
          </cell>
          <cell r="B566">
            <v>37024000</v>
          </cell>
        </row>
        <row r="567">
          <cell r="A567" t="str">
            <v>AK 45 197 75 LC 2175</v>
          </cell>
          <cell r="B567">
            <v>37024000</v>
          </cell>
        </row>
        <row r="568">
          <cell r="A568" t="str">
            <v>AK 45 197 75 LC 2176</v>
          </cell>
          <cell r="B568">
            <v>37024000</v>
          </cell>
        </row>
        <row r="569">
          <cell r="A569" t="str">
            <v>AK 45 197 75 LC 2177</v>
          </cell>
          <cell r="B569">
            <v>37024000</v>
          </cell>
        </row>
        <row r="570">
          <cell r="A570" t="str">
            <v>AK 45 197 75 LC 2178</v>
          </cell>
          <cell r="B570">
            <v>37023000</v>
          </cell>
        </row>
        <row r="571">
          <cell r="A571" t="str">
            <v>AK 45 197 75 LC 2179</v>
          </cell>
          <cell r="B571">
            <v>37023000</v>
          </cell>
        </row>
        <row r="572">
          <cell r="A572" t="str">
            <v>AK 45 197 75 LC 2180</v>
          </cell>
          <cell r="B572">
            <v>37023000</v>
          </cell>
        </row>
        <row r="573">
          <cell r="A573" t="str">
            <v>AK 45 197 75 LC 2181</v>
          </cell>
          <cell r="B573">
            <v>37024000</v>
          </cell>
        </row>
        <row r="574">
          <cell r="A574" t="str">
            <v>AK 45 197 75 LC 2182</v>
          </cell>
          <cell r="B574">
            <v>69521000</v>
          </cell>
        </row>
        <row r="575">
          <cell r="A575" t="str">
            <v>AK 45 197 75 LC 2183</v>
          </cell>
          <cell r="B575">
            <v>69585000</v>
          </cell>
        </row>
        <row r="576">
          <cell r="A576" t="str">
            <v>AK 45 197 75 LC 2184</v>
          </cell>
          <cell r="B576">
            <v>69585000</v>
          </cell>
        </row>
        <row r="577">
          <cell r="A577" t="str">
            <v>AK 45 197 75 LC 2185</v>
          </cell>
          <cell r="B577">
            <v>69585000</v>
          </cell>
        </row>
        <row r="578">
          <cell r="A578" t="str">
            <v>AK 45 197 75 LC 2186</v>
          </cell>
          <cell r="B578">
            <v>37024000</v>
          </cell>
        </row>
        <row r="579">
          <cell r="A579" t="str">
            <v>AK 45 197 75 LC 2187</v>
          </cell>
          <cell r="B579">
            <v>37023000</v>
          </cell>
        </row>
        <row r="580">
          <cell r="A580" t="str">
            <v>AK 45 197 75 LC 2188</v>
          </cell>
          <cell r="B580">
            <v>37023000</v>
          </cell>
        </row>
        <row r="581">
          <cell r="A581" t="str">
            <v>AK 45 197 75 LC 2189</v>
          </cell>
          <cell r="B581">
            <v>37023000</v>
          </cell>
        </row>
        <row r="582">
          <cell r="A582" t="str">
            <v>AK 45 197 75 LC 2190</v>
          </cell>
          <cell r="B582">
            <v>37024000</v>
          </cell>
        </row>
        <row r="583">
          <cell r="A583" t="str">
            <v>AK 45 197 75 LC 2191</v>
          </cell>
          <cell r="B583">
            <v>37024000</v>
          </cell>
        </row>
        <row r="584">
          <cell r="A584" t="str">
            <v>AK 45 197 75 LC 2192</v>
          </cell>
          <cell r="B584">
            <v>37024000</v>
          </cell>
        </row>
        <row r="585">
          <cell r="A585" t="str">
            <v>AK 45 197 75 LC 2193</v>
          </cell>
          <cell r="B585">
            <v>37024000</v>
          </cell>
        </row>
        <row r="586">
          <cell r="A586" t="str">
            <v>AK 45 197 75 LC 2194</v>
          </cell>
          <cell r="B586">
            <v>37024000</v>
          </cell>
        </row>
        <row r="587">
          <cell r="A587" t="str">
            <v>AK 45 197 75 LC 2195</v>
          </cell>
          <cell r="B587">
            <v>37024000</v>
          </cell>
        </row>
        <row r="588">
          <cell r="A588" t="str">
            <v>AK 45 197 75 LC 2196</v>
          </cell>
          <cell r="B588">
            <v>37023000</v>
          </cell>
        </row>
        <row r="589">
          <cell r="A589" t="str">
            <v>AK 45 197 75 LC 2197</v>
          </cell>
          <cell r="B589">
            <v>37023000</v>
          </cell>
        </row>
        <row r="590">
          <cell r="A590" t="str">
            <v>AK 45 197 75 LC 2198</v>
          </cell>
          <cell r="B590">
            <v>37023000</v>
          </cell>
        </row>
        <row r="591">
          <cell r="A591" t="str">
            <v>AK 45 197 75 LC 2199</v>
          </cell>
          <cell r="B591">
            <v>37024000</v>
          </cell>
        </row>
        <row r="592">
          <cell r="A592" t="str">
            <v>AK 45 197 75 LC 2200</v>
          </cell>
          <cell r="B592">
            <v>37024000</v>
          </cell>
        </row>
        <row r="593">
          <cell r="A593" t="str">
            <v>AK 45 197 75 LC 2201</v>
          </cell>
          <cell r="B593">
            <v>37024000</v>
          </cell>
        </row>
        <row r="594">
          <cell r="A594" t="str">
            <v>AK 45 197 75 LC 2202</v>
          </cell>
          <cell r="B594">
            <v>37024000</v>
          </cell>
        </row>
        <row r="595">
          <cell r="A595" t="str">
            <v>AK 45 197 75 LC 2203</v>
          </cell>
          <cell r="B595">
            <v>37024000</v>
          </cell>
        </row>
        <row r="596">
          <cell r="A596" t="str">
            <v>AK 45 197 75 LC 2204</v>
          </cell>
          <cell r="B596">
            <v>37024000</v>
          </cell>
        </row>
        <row r="597">
          <cell r="A597" t="str">
            <v>AK 45 197 75 LC 2205</v>
          </cell>
          <cell r="B597">
            <v>37024000</v>
          </cell>
        </row>
        <row r="598">
          <cell r="A598" t="str">
            <v>AK 45 197 75 LC 2206</v>
          </cell>
          <cell r="B598">
            <v>37024000</v>
          </cell>
        </row>
        <row r="599">
          <cell r="A599" t="str">
            <v>AK 45 197 75 LC 2207</v>
          </cell>
          <cell r="B599">
            <v>37024000</v>
          </cell>
        </row>
        <row r="600">
          <cell r="A600" t="str">
            <v>AK 45 197 75 LC 2209</v>
          </cell>
          <cell r="B600">
            <v>37024000</v>
          </cell>
        </row>
        <row r="601">
          <cell r="A601" t="str">
            <v>AK 45 197 75 LC 2211</v>
          </cell>
          <cell r="B601">
            <v>78766000</v>
          </cell>
        </row>
        <row r="602">
          <cell r="A602" t="str">
            <v>AK 45 197 75 LC 2212</v>
          </cell>
          <cell r="B602">
            <v>69583000</v>
          </cell>
        </row>
        <row r="603">
          <cell r="A603" t="str">
            <v>AK 45 197 75 LC 2213</v>
          </cell>
          <cell r="B603">
            <v>97288000</v>
          </cell>
        </row>
        <row r="604">
          <cell r="A604" t="str">
            <v>AK 45 197 75 LC 2214</v>
          </cell>
          <cell r="B604">
            <v>97288000</v>
          </cell>
        </row>
        <row r="605">
          <cell r="A605" t="str">
            <v>AK 45 197 75 LC 2215</v>
          </cell>
          <cell r="B605">
            <v>37024000</v>
          </cell>
        </row>
        <row r="606">
          <cell r="A606" t="str">
            <v>AK 45 197 75 LC 2216</v>
          </cell>
          <cell r="B606">
            <v>69583000</v>
          </cell>
        </row>
        <row r="607">
          <cell r="A607" t="str">
            <v>AK 45 197 75 LC 2218</v>
          </cell>
          <cell r="B607">
            <v>69574000</v>
          </cell>
        </row>
        <row r="608">
          <cell r="A608" t="str">
            <v>AK 45 197 75 LC 2219</v>
          </cell>
          <cell r="B608">
            <v>46349000</v>
          </cell>
        </row>
        <row r="609">
          <cell r="A609" t="str">
            <v>AK 45 197 75 LC 2221</v>
          </cell>
          <cell r="B609">
            <v>37024000</v>
          </cell>
        </row>
        <row r="610">
          <cell r="A610" t="str">
            <v>AK 45 197 75 LC 2222</v>
          </cell>
          <cell r="B610">
            <v>69574000</v>
          </cell>
        </row>
        <row r="611">
          <cell r="A611" t="str">
            <v>AK 45 197 75 LC 2223</v>
          </cell>
          <cell r="B611">
            <v>37024000</v>
          </cell>
        </row>
        <row r="612">
          <cell r="A612" t="str">
            <v>AK 45 197 75 LC 2226</v>
          </cell>
          <cell r="B612">
            <v>37024000</v>
          </cell>
        </row>
        <row r="613">
          <cell r="A613" t="str">
            <v>AK 45 197 75 LC 2227</v>
          </cell>
          <cell r="B613">
            <v>69583000</v>
          </cell>
        </row>
        <row r="614">
          <cell r="A614" t="str">
            <v>AK 45 197 75 LC 2228</v>
          </cell>
          <cell r="B614">
            <v>37023000</v>
          </cell>
        </row>
        <row r="615">
          <cell r="A615" t="str">
            <v>AK 45 197 75 LC 2229</v>
          </cell>
          <cell r="B615">
            <v>69583000</v>
          </cell>
        </row>
        <row r="616">
          <cell r="A616" t="str">
            <v>AK 45 197 75 LC 2230</v>
          </cell>
          <cell r="B616">
            <v>37023000</v>
          </cell>
        </row>
        <row r="617">
          <cell r="A617" t="str">
            <v>AK 45 197 75 LC 2231</v>
          </cell>
          <cell r="B617">
            <v>69583000</v>
          </cell>
        </row>
        <row r="618">
          <cell r="A618" t="str">
            <v>AK 45 197 75 LC 2232</v>
          </cell>
          <cell r="B618">
            <v>37023000</v>
          </cell>
        </row>
        <row r="619">
          <cell r="A619" t="str">
            <v>AK 45 197 75 LC 2233</v>
          </cell>
          <cell r="B619">
            <v>69583000</v>
          </cell>
        </row>
        <row r="620">
          <cell r="A620" t="str">
            <v>AK 45 197 75 LC 2234</v>
          </cell>
          <cell r="B620">
            <v>37024000</v>
          </cell>
        </row>
        <row r="621">
          <cell r="A621" t="str">
            <v>AK 45 197 75 LC 2235</v>
          </cell>
          <cell r="B621">
            <v>69583000</v>
          </cell>
        </row>
        <row r="622">
          <cell r="A622" t="str">
            <v>AK 45 197 75 LC 2236</v>
          </cell>
          <cell r="B622">
            <v>69583000</v>
          </cell>
        </row>
        <row r="623">
          <cell r="A623" t="str">
            <v>AK 45 197 75 LC 2237</v>
          </cell>
          <cell r="B623">
            <v>37024000</v>
          </cell>
        </row>
        <row r="624">
          <cell r="A624" t="str">
            <v>AK 45 197 75 LC 2238</v>
          </cell>
          <cell r="B624">
            <v>69583000</v>
          </cell>
        </row>
        <row r="625">
          <cell r="A625" t="str">
            <v>AK 45 197 75 LC 2239</v>
          </cell>
          <cell r="B625">
            <v>37024000</v>
          </cell>
        </row>
        <row r="626">
          <cell r="A626" t="str">
            <v>AK 45 197 75 LC 2240</v>
          </cell>
          <cell r="B626">
            <v>69583000</v>
          </cell>
        </row>
        <row r="627">
          <cell r="A627" t="str">
            <v>AK 45 197 75 LC 2241</v>
          </cell>
          <cell r="B627">
            <v>69583000</v>
          </cell>
        </row>
        <row r="628">
          <cell r="A628" t="str">
            <v>AK 45 197 75 LC 2242</v>
          </cell>
          <cell r="B628">
            <v>37024000</v>
          </cell>
        </row>
        <row r="629">
          <cell r="A629" t="str">
            <v>AK 45 197 75 LC 2243</v>
          </cell>
          <cell r="B629">
            <v>69583000</v>
          </cell>
        </row>
        <row r="630">
          <cell r="A630" t="str">
            <v>AK 45 197 75 LC 2244</v>
          </cell>
          <cell r="B630">
            <v>37024000</v>
          </cell>
        </row>
        <row r="631">
          <cell r="A631" t="str">
            <v>AK 45 197 75 LC 2245</v>
          </cell>
          <cell r="B631">
            <v>69583000</v>
          </cell>
        </row>
        <row r="632">
          <cell r="A632" t="str">
            <v>AK 45 197 75 LC 2246</v>
          </cell>
          <cell r="B632">
            <v>69583000</v>
          </cell>
        </row>
        <row r="633">
          <cell r="A633" t="str">
            <v>AK 45 197 75 LC 2247</v>
          </cell>
          <cell r="B633">
            <v>37024000</v>
          </cell>
        </row>
        <row r="634">
          <cell r="A634" t="str">
            <v>AK 45 197 75 LC 2248</v>
          </cell>
          <cell r="B634">
            <v>69583000</v>
          </cell>
        </row>
        <row r="635">
          <cell r="A635" t="str">
            <v>AK 45 197 75 LC 2249</v>
          </cell>
          <cell r="B635">
            <v>37023000</v>
          </cell>
        </row>
        <row r="636">
          <cell r="A636" t="str">
            <v>AK 45 197 75 LC 2250</v>
          </cell>
          <cell r="B636">
            <v>69583000</v>
          </cell>
        </row>
        <row r="637">
          <cell r="A637" t="str">
            <v>AK 45 197 75 LC 2251</v>
          </cell>
          <cell r="B637">
            <v>37023000</v>
          </cell>
        </row>
        <row r="638">
          <cell r="A638" t="str">
            <v>AK 45 197 75 LC 2252</v>
          </cell>
          <cell r="B638">
            <v>69583000</v>
          </cell>
        </row>
        <row r="639">
          <cell r="A639" t="str">
            <v>AK 45 197 75 LC 2253</v>
          </cell>
          <cell r="B639">
            <v>37023000</v>
          </cell>
        </row>
        <row r="640">
          <cell r="A640" t="str">
            <v>AK 45 197 75 LC 2254</v>
          </cell>
          <cell r="B640">
            <v>69583000</v>
          </cell>
        </row>
        <row r="641">
          <cell r="A641" t="str">
            <v>AK 45 197 75 LC 2255</v>
          </cell>
          <cell r="B641">
            <v>37024000</v>
          </cell>
        </row>
        <row r="642">
          <cell r="A642" t="str">
            <v>AK 45 197 75 LC 2256</v>
          </cell>
          <cell r="B642">
            <v>69583000</v>
          </cell>
        </row>
        <row r="643">
          <cell r="A643" t="str">
            <v>AK 45 197 75 LC 2257</v>
          </cell>
          <cell r="B643">
            <v>102014000</v>
          </cell>
        </row>
        <row r="644">
          <cell r="A644" t="str">
            <v>AK 45 197 75 LC 2258</v>
          </cell>
          <cell r="B644">
            <v>69586000</v>
          </cell>
        </row>
        <row r="645">
          <cell r="A645" t="str">
            <v>AK 45 197 75 LC 2259</v>
          </cell>
          <cell r="B645">
            <v>69585000</v>
          </cell>
        </row>
        <row r="646">
          <cell r="A646" t="str">
            <v>AK 45 197 75 LC 2260</v>
          </cell>
          <cell r="B646">
            <v>78753000</v>
          </cell>
        </row>
        <row r="647">
          <cell r="A647" t="str">
            <v>AK 45 197 75 LC 2261</v>
          </cell>
          <cell r="B647">
            <v>69585000</v>
          </cell>
        </row>
        <row r="648">
          <cell r="A648" t="str">
            <v>AK 45 197 75 LC 2262</v>
          </cell>
          <cell r="B648">
            <v>64849000</v>
          </cell>
        </row>
        <row r="649">
          <cell r="A649" t="str">
            <v>AK 45 197 75 LC 2263</v>
          </cell>
          <cell r="B649">
            <v>64849000</v>
          </cell>
        </row>
        <row r="650">
          <cell r="A650" t="str">
            <v>AK 45 197 75 LC 2264</v>
          </cell>
          <cell r="B650">
            <v>69585000</v>
          </cell>
        </row>
        <row r="651">
          <cell r="A651" t="str">
            <v>AK 45 197 75 LC 2265</v>
          </cell>
          <cell r="B651">
            <v>69585000</v>
          </cell>
        </row>
        <row r="652">
          <cell r="A652" t="str">
            <v>AK 45 197 75 LC 2267</v>
          </cell>
          <cell r="B652">
            <v>37024000</v>
          </cell>
        </row>
        <row r="653">
          <cell r="A653" t="str">
            <v>AK 45 197 75 LC 2268</v>
          </cell>
          <cell r="B653">
            <v>69583000</v>
          </cell>
        </row>
        <row r="654">
          <cell r="A654" t="str">
            <v>AK 45 197 75 LC 2270</v>
          </cell>
          <cell r="B654">
            <v>69583000</v>
          </cell>
        </row>
        <row r="655">
          <cell r="A655" t="str">
            <v>AK 45 197 75 LC 2271</v>
          </cell>
          <cell r="B655">
            <v>37023000</v>
          </cell>
        </row>
        <row r="656">
          <cell r="A656" t="str">
            <v>AK 45 197 75 LC 2272</v>
          </cell>
          <cell r="B656">
            <v>69583000</v>
          </cell>
        </row>
        <row r="657">
          <cell r="A657" t="str">
            <v>AK 45 197 75 LC 2274</v>
          </cell>
          <cell r="B657">
            <v>69583000</v>
          </cell>
        </row>
        <row r="658">
          <cell r="A658" t="str">
            <v>AK 45 197 75 LC 2275</v>
          </cell>
          <cell r="B658">
            <v>37024000</v>
          </cell>
        </row>
        <row r="659">
          <cell r="A659" t="str">
            <v>AK 45 197 75 LC 2276</v>
          </cell>
          <cell r="B659">
            <v>69583000</v>
          </cell>
        </row>
        <row r="660">
          <cell r="A660" t="str">
            <v>AK 45 197 75 LC 2277</v>
          </cell>
          <cell r="B660">
            <v>69583000</v>
          </cell>
        </row>
        <row r="661">
          <cell r="A661" t="str">
            <v>AK 45 197 75 LC 2278</v>
          </cell>
          <cell r="B661">
            <v>37024000</v>
          </cell>
        </row>
        <row r="662">
          <cell r="A662" t="str">
            <v>AK 45 197 75 LC 2279</v>
          </cell>
          <cell r="B662">
            <v>69583000</v>
          </cell>
        </row>
        <row r="663">
          <cell r="A663" t="str">
            <v>AK 45 197 75 LC 2281</v>
          </cell>
          <cell r="B663">
            <v>69583000</v>
          </cell>
        </row>
        <row r="664">
          <cell r="A664" t="str">
            <v>AK 45 197 75 LC 2282</v>
          </cell>
          <cell r="B664">
            <v>69583000</v>
          </cell>
        </row>
        <row r="665">
          <cell r="A665" t="str">
            <v>AK 45 197 75 LC 2283</v>
          </cell>
          <cell r="B665">
            <v>37024000</v>
          </cell>
        </row>
        <row r="666">
          <cell r="A666" t="str">
            <v>AK 45 197 75 LC 2284</v>
          </cell>
          <cell r="B666">
            <v>69583000</v>
          </cell>
        </row>
        <row r="667">
          <cell r="A667" t="str">
            <v>AK 45 197 75 LC 2286</v>
          </cell>
          <cell r="B667">
            <v>69583000</v>
          </cell>
        </row>
        <row r="668">
          <cell r="A668" t="str">
            <v>AK 45 197 75 LC 2287</v>
          </cell>
          <cell r="B668">
            <v>69583000</v>
          </cell>
        </row>
        <row r="669">
          <cell r="A669" t="str">
            <v>AK 45 197 75 LC 2289</v>
          </cell>
          <cell r="B669">
            <v>69583000</v>
          </cell>
        </row>
        <row r="670">
          <cell r="A670" t="str">
            <v>AK 45 197 75 LC 2290</v>
          </cell>
          <cell r="B670">
            <v>37023000</v>
          </cell>
        </row>
        <row r="671">
          <cell r="A671" t="str">
            <v>AK 45 197 75 LC 2291</v>
          </cell>
          <cell r="B671">
            <v>69583000</v>
          </cell>
        </row>
        <row r="672">
          <cell r="A672" t="str">
            <v>AK 45 197 75 LC 2292</v>
          </cell>
          <cell r="B672">
            <v>37023000</v>
          </cell>
        </row>
        <row r="673">
          <cell r="A673" t="str">
            <v>AK 45 197 75 LC 2293</v>
          </cell>
          <cell r="B673">
            <v>69583000</v>
          </cell>
        </row>
        <row r="674">
          <cell r="A674" t="str">
            <v>AK 45 197 75 LC 2294</v>
          </cell>
          <cell r="B674">
            <v>37023000</v>
          </cell>
        </row>
        <row r="675">
          <cell r="A675" t="str">
            <v>AK 45 197 75 LC 2295</v>
          </cell>
          <cell r="B675">
            <v>69583000</v>
          </cell>
        </row>
        <row r="676">
          <cell r="A676" t="str">
            <v>AK 45 197 75 LC 2296</v>
          </cell>
          <cell r="B676">
            <v>37024000</v>
          </cell>
        </row>
        <row r="677">
          <cell r="A677" t="str">
            <v>AK 45 197 75 LC 2297</v>
          </cell>
          <cell r="B677">
            <v>69583000</v>
          </cell>
        </row>
        <row r="678">
          <cell r="A678" t="str">
            <v>AK 45 197 75 LC 2298</v>
          </cell>
          <cell r="B678">
            <v>97286000</v>
          </cell>
        </row>
        <row r="679">
          <cell r="A679" t="str">
            <v>AK 45 197 75 LC 2299</v>
          </cell>
          <cell r="B679">
            <v>37024000</v>
          </cell>
        </row>
        <row r="680">
          <cell r="A680" t="str">
            <v>AK 45 197 75 LC 2300</v>
          </cell>
          <cell r="B680">
            <v>69583000</v>
          </cell>
        </row>
        <row r="681">
          <cell r="A681" t="str">
            <v>AK 45 197 75 LC 2301</v>
          </cell>
          <cell r="B681">
            <v>37024000</v>
          </cell>
        </row>
        <row r="682">
          <cell r="A682" t="str">
            <v>AK 45 197 75 LC 2302</v>
          </cell>
          <cell r="B682">
            <v>69574000</v>
          </cell>
        </row>
        <row r="683">
          <cell r="A683" t="str">
            <v>AK 45 197 75 LC 2303</v>
          </cell>
          <cell r="B683">
            <v>46349000</v>
          </cell>
        </row>
        <row r="684">
          <cell r="A684" t="str">
            <v>AK 45 197 75 LC 2304</v>
          </cell>
          <cell r="B684">
            <v>46349000</v>
          </cell>
        </row>
        <row r="685">
          <cell r="A685" t="str">
            <v>AK 45 197 75 LC 2305</v>
          </cell>
          <cell r="B685">
            <v>37024000</v>
          </cell>
        </row>
        <row r="686">
          <cell r="A686" t="str">
            <v>AK 45 197 75 LC 2307</v>
          </cell>
          <cell r="B686">
            <v>37024000</v>
          </cell>
        </row>
        <row r="687">
          <cell r="A687" t="str">
            <v>AK 45 197 75 LC 2308</v>
          </cell>
          <cell r="B687">
            <v>69583000</v>
          </cell>
        </row>
        <row r="688">
          <cell r="A688" t="str">
            <v>AK 45 197 75 LC 2309</v>
          </cell>
          <cell r="B688">
            <v>55616000</v>
          </cell>
        </row>
        <row r="689">
          <cell r="A689" t="str">
            <v>AK 45 197 75 LC 2310</v>
          </cell>
          <cell r="B689">
            <v>37026000</v>
          </cell>
        </row>
        <row r="690">
          <cell r="A690" t="str">
            <v>AK 45 197 75 LC 2311</v>
          </cell>
          <cell r="B690">
            <v>37026000</v>
          </cell>
        </row>
        <row r="691">
          <cell r="A691" t="str">
            <v>AK 45 197 75 LC 2312</v>
          </cell>
          <cell r="B691">
            <v>37024000</v>
          </cell>
        </row>
        <row r="692">
          <cell r="A692" t="str">
            <v>AK 45 197 75 LC 2314</v>
          </cell>
          <cell r="B692">
            <v>37027000</v>
          </cell>
        </row>
        <row r="693">
          <cell r="A693" t="str">
            <v>AK 45 197 75 LC 2315</v>
          </cell>
          <cell r="B693">
            <v>37027000</v>
          </cell>
        </row>
        <row r="694">
          <cell r="A694" t="str">
            <v>AK 45 197 75 LC 2316</v>
          </cell>
          <cell r="B694">
            <v>32430000</v>
          </cell>
        </row>
        <row r="695">
          <cell r="A695" t="str">
            <v>AK 45 197 75 LC 2318</v>
          </cell>
          <cell r="B695">
            <v>32430000</v>
          </cell>
        </row>
        <row r="696">
          <cell r="A696" t="str">
            <v>AK 45 197 75 LC 2319</v>
          </cell>
          <cell r="B696">
            <v>32430000</v>
          </cell>
        </row>
        <row r="697">
          <cell r="A697" t="str">
            <v>AK 45 197 75 LC 2320</v>
          </cell>
          <cell r="B697">
            <v>32430000</v>
          </cell>
        </row>
        <row r="698">
          <cell r="A698" t="str">
            <v>AK 45 197 75 LC 2321</v>
          </cell>
          <cell r="B698">
            <v>32430000</v>
          </cell>
        </row>
        <row r="699">
          <cell r="A699" t="str">
            <v>AK 45 197 75 LC 2322</v>
          </cell>
          <cell r="B699">
            <v>46338000</v>
          </cell>
        </row>
        <row r="700">
          <cell r="A700" t="str">
            <v>AK 45 197 75 LC 2323</v>
          </cell>
          <cell r="B700">
            <v>46338000</v>
          </cell>
        </row>
        <row r="701">
          <cell r="A701" t="str">
            <v>AK 45 197 75 LC 3001</v>
          </cell>
          <cell r="B701">
            <v>88087000</v>
          </cell>
        </row>
        <row r="702">
          <cell r="A702" t="str">
            <v>AK 45 197 75 LC 3002</v>
          </cell>
          <cell r="B702">
            <v>69577000</v>
          </cell>
        </row>
        <row r="703">
          <cell r="A703" t="str">
            <v>AK 45 197 75 LC 3003</v>
          </cell>
          <cell r="B703">
            <v>83367000</v>
          </cell>
        </row>
        <row r="704">
          <cell r="A704" t="str">
            <v>AK 45 197 75 LC 3004</v>
          </cell>
          <cell r="B704">
            <v>46340000</v>
          </cell>
        </row>
        <row r="705">
          <cell r="A705" t="str">
            <v>AK 45 197 75 LC 3005</v>
          </cell>
          <cell r="B705">
            <v>50944000</v>
          </cell>
        </row>
        <row r="706">
          <cell r="A706" t="str">
            <v>AK 45 197 75 LC 3006</v>
          </cell>
          <cell r="B706">
            <v>46345000</v>
          </cell>
        </row>
        <row r="707">
          <cell r="A707" t="str">
            <v>AK 45 197 75 LC 3007</v>
          </cell>
          <cell r="B707">
            <v>46347000</v>
          </cell>
        </row>
        <row r="708">
          <cell r="A708" t="str">
            <v>AK 45 197 75 LC 3008</v>
          </cell>
          <cell r="B708">
            <v>46347000</v>
          </cell>
        </row>
        <row r="709">
          <cell r="A709" t="str">
            <v>AK 45 197 75 LC 3009</v>
          </cell>
          <cell r="B709">
            <v>46345000</v>
          </cell>
        </row>
        <row r="710">
          <cell r="A710" t="str">
            <v>AK 45 197 75 LC 3010</v>
          </cell>
          <cell r="B710">
            <v>50944000</v>
          </cell>
        </row>
        <row r="711">
          <cell r="A711" t="str">
            <v>AK 45 197 75 LC 3011</v>
          </cell>
          <cell r="B711">
            <v>69559000</v>
          </cell>
        </row>
        <row r="712">
          <cell r="A712" t="str">
            <v>AK 45 197 75 LC 3012</v>
          </cell>
          <cell r="B712">
            <v>50944000</v>
          </cell>
        </row>
        <row r="713">
          <cell r="A713" t="str">
            <v>AK 45 197 75 LC 3013</v>
          </cell>
          <cell r="B713">
            <v>50944000</v>
          </cell>
        </row>
        <row r="714">
          <cell r="A714" t="str">
            <v>AK 45 197 75 LC 3014</v>
          </cell>
          <cell r="B714">
            <v>50944000</v>
          </cell>
        </row>
        <row r="715">
          <cell r="A715" t="str">
            <v>AK 45 197 75 LC 3015</v>
          </cell>
          <cell r="B715">
            <v>50944000</v>
          </cell>
        </row>
        <row r="716">
          <cell r="A716" t="str">
            <v>AK 45 197 75 LC 3016</v>
          </cell>
          <cell r="B716">
            <v>50944000</v>
          </cell>
        </row>
        <row r="717">
          <cell r="A717" t="str">
            <v>AK 45 197 75 LC 3017</v>
          </cell>
          <cell r="B717">
            <v>50944000</v>
          </cell>
        </row>
        <row r="718">
          <cell r="A718" t="str">
            <v>AK 45 197 75 LC 3018</v>
          </cell>
          <cell r="B718">
            <v>50944000</v>
          </cell>
        </row>
        <row r="719">
          <cell r="A719" t="str">
            <v>AK 45 197 75 LC 3019</v>
          </cell>
          <cell r="B719">
            <v>50944000</v>
          </cell>
        </row>
        <row r="720">
          <cell r="A720" t="str">
            <v>AK 45 197 75 LC 3020</v>
          </cell>
          <cell r="B720">
            <v>50944000</v>
          </cell>
        </row>
        <row r="721">
          <cell r="A721" t="str">
            <v>AK 45 197 75 LC 3021</v>
          </cell>
          <cell r="B721">
            <v>50944000</v>
          </cell>
        </row>
        <row r="722">
          <cell r="A722" t="str">
            <v>AK 45 197 75 LC 3022</v>
          </cell>
          <cell r="B722">
            <v>50944000</v>
          </cell>
        </row>
        <row r="723">
          <cell r="A723" t="str">
            <v>AK 45 197 75 LC 3023</v>
          </cell>
          <cell r="B723">
            <v>50944000</v>
          </cell>
        </row>
        <row r="724">
          <cell r="A724" t="str">
            <v>AK 45 197 75 LC 3024</v>
          </cell>
          <cell r="B724">
            <v>50944000</v>
          </cell>
        </row>
        <row r="725">
          <cell r="A725" t="str">
            <v>AK 45 197 75 LC 3025</v>
          </cell>
          <cell r="B725">
            <v>50944000</v>
          </cell>
        </row>
        <row r="726">
          <cell r="A726" t="str">
            <v>AK 45 197 75 LC 3026</v>
          </cell>
          <cell r="B726">
            <v>50944000</v>
          </cell>
        </row>
        <row r="727">
          <cell r="A727" t="str">
            <v>AK 45 197 75 LC 3027</v>
          </cell>
          <cell r="B727">
            <v>50944000</v>
          </cell>
        </row>
        <row r="728">
          <cell r="A728" t="str">
            <v>AK 45 197 75 LC 3028</v>
          </cell>
          <cell r="B728">
            <v>50944000</v>
          </cell>
        </row>
        <row r="729">
          <cell r="A729" t="str">
            <v>AK 45 197 75 LC 3029</v>
          </cell>
          <cell r="B729">
            <v>64854000</v>
          </cell>
        </row>
        <row r="730">
          <cell r="A730" t="str">
            <v>AK 45 197 75 LC 3030</v>
          </cell>
          <cell r="B730">
            <v>83363000</v>
          </cell>
        </row>
        <row r="731">
          <cell r="A731" t="str">
            <v>AK 45 197 75 LC 3031</v>
          </cell>
          <cell r="B731">
            <v>83362000</v>
          </cell>
        </row>
        <row r="732">
          <cell r="A732" t="str">
            <v>AK 45 197 75 LC 3032</v>
          </cell>
          <cell r="B732">
            <v>69583000</v>
          </cell>
        </row>
        <row r="733">
          <cell r="A733" t="str">
            <v>AK 45 197 75 LC 3033</v>
          </cell>
          <cell r="B733">
            <v>69583000</v>
          </cell>
        </row>
        <row r="734">
          <cell r="A734" t="str">
            <v>AK 45 197 75 LC 3034</v>
          </cell>
          <cell r="B734">
            <v>78766000</v>
          </cell>
        </row>
        <row r="735">
          <cell r="A735" t="str">
            <v>AK 45 197 75 LC 3035</v>
          </cell>
          <cell r="B735">
            <v>78766000</v>
          </cell>
        </row>
        <row r="736">
          <cell r="A736" t="str">
            <v>AK 45 197 75 LC 3036</v>
          </cell>
          <cell r="B736">
            <v>78766000</v>
          </cell>
        </row>
        <row r="737">
          <cell r="A737" t="str">
            <v>AK 45 197 75 LC 3037</v>
          </cell>
          <cell r="B737">
            <v>83365000</v>
          </cell>
        </row>
        <row r="738">
          <cell r="A738" t="str">
            <v>AK 45 197 75 LC 3038</v>
          </cell>
          <cell r="B738">
            <v>50944000</v>
          </cell>
        </row>
        <row r="739">
          <cell r="A739" t="str">
            <v>AK 45 197 75 LC 3039</v>
          </cell>
          <cell r="B739">
            <v>50944000</v>
          </cell>
        </row>
        <row r="740">
          <cell r="A740" t="str">
            <v>AK 45 197 75 LC 3040</v>
          </cell>
          <cell r="B740">
            <v>50944000</v>
          </cell>
        </row>
        <row r="741">
          <cell r="A741" t="str">
            <v>AK 45 197 75 LC 3041</v>
          </cell>
          <cell r="B741">
            <v>50944000</v>
          </cell>
        </row>
        <row r="742">
          <cell r="A742" t="str">
            <v>AK 45 197 75 LC 3042</v>
          </cell>
          <cell r="B742">
            <v>50944000</v>
          </cell>
        </row>
        <row r="743">
          <cell r="A743" t="str">
            <v>AK 45 197 75 LC 3043</v>
          </cell>
          <cell r="B743">
            <v>50944000</v>
          </cell>
        </row>
        <row r="744">
          <cell r="A744" t="str">
            <v>AK 45 197 75 LC 3044</v>
          </cell>
          <cell r="B744">
            <v>50944000</v>
          </cell>
        </row>
        <row r="745">
          <cell r="A745" t="str">
            <v>AK 45 197 75 LC 3045</v>
          </cell>
          <cell r="B745">
            <v>50944000</v>
          </cell>
        </row>
        <row r="746">
          <cell r="A746" t="str">
            <v>AK 45 197 75 LC 3046</v>
          </cell>
          <cell r="B746">
            <v>50944000</v>
          </cell>
        </row>
        <row r="747">
          <cell r="A747" t="str">
            <v>AK 45 197 75 LC 3047</v>
          </cell>
          <cell r="B747">
            <v>50944000</v>
          </cell>
        </row>
        <row r="748">
          <cell r="A748" t="str">
            <v>AK 45 197 75 LC 3048</v>
          </cell>
          <cell r="B748">
            <v>50944000</v>
          </cell>
        </row>
        <row r="749">
          <cell r="A749" t="str">
            <v>AK 45 197 75 LC 3049</v>
          </cell>
          <cell r="B749">
            <v>50944000</v>
          </cell>
        </row>
        <row r="750">
          <cell r="A750" t="str">
            <v>AK 45 197 75 LC 3050</v>
          </cell>
          <cell r="B750">
            <v>50944000</v>
          </cell>
        </row>
        <row r="751">
          <cell r="A751" t="str">
            <v>AK 45 197 75 LC 3051</v>
          </cell>
          <cell r="B751">
            <v>50944000</v>
          </cell>
        </row>
        <row r="752">
          <cell r="A752" t="str">
            <v>AK 45 197 75 LC 3052</v>
          </cell>
          <cell r="B752">
            <v>50944000</v>
          </cell>
        </row>
        <row r="753">
          <cell r="A753" t="str">
            <v>AK 45 197 75 LC 3053</v>
          </cell>
          <cell r="B753">
            <v>50944000</v>
          </cell>
        </row>
        <row r="754">
          <cell r="A754" t="str">
            <v>AK 45 197 75 LC 3054</v>
          </cell>
          <cell r="B754">
            <v>50944000</v>
          </cell>
        </row>
        <row r="755">
          <cell r="A755" t="str">
            <v>AK 45 197 75 LC 3055</v>
          </cell>
          <cell r="B755">
            <v>69585000</v>
          </cell>
        </row>
        <row r="756">
          <cell r="A756" t="str">
            <v>AK 45 197 75 LC 3056</v>
          </cell>
          <cell r="B756">
            <v>50944000</v>
          </cell>
        </row>
        <row r="757">
          <cell r="A757" t="str">
            <v>AK 45 197 75 LC 3057</v>
          </cell>
          <cell r="B757">
            <v>46322000</v>
          </cell>
        </row>
        <row r="758">
          <cell r="A758" t="str">
            <v>AK 45 197 75 LC 3058</v>
          </cell>
          <cell r="B758">
            <v>46347000</v>
          </cell>
        </row>
        <row r="759">
          <cell r="A759" t="str">
            <v>AK 45 197 75 LC 3059</v>
          </cell>
          <cell r="B759">
            <v>46347000</v>
          </cell>
        </row>
        <row r="760">
          <cell r="A760" t="str">
            <v>AK 45 197 75 LC 3060</v>
          </cell>
          <cell r="B760">
            <v>46345000</v>
          </cell>
        </row>
        <row r="761">
          <cell r="A761" t="str">
            <v>AK 45 197 75 LC 3062</v>
          </cell>
          <cell r="B761">
            <v>46338000</v>
          </cell>
        </row>
        <row r="762">
          <cell r="A762" t="str">
            <v>AK 45 197 75 LC 3063</v>
          </cell>
          <cell r="B762">
            <v>143629000</v>
          </cell>
        </row>
        <row r="763">
          <cell r="A763" t="str">
            <v>AK 45 197 75 LC 3064</v>
          </cell>
          <cell r="B763">
            <v>50946000</v>
          </cell>
        </row>
        <row r="764">
          <cell r="A764" t="str">
            <v>AK 45 197 75 LC 3066</v>
          </cell>
          <cell r="B764">
            <v>50946000</v>
          </cell>
        </row>
        <row r="765">
          <cell r="A765" t="str">
            <v>AK 45 197 75 LC 3067</v>
          </cell>
          <cell r="B765">
            <v>50944000</v>
          </cell>
        </row>
        <row r="766">
          <cell r="A766" t="str">
            <v>AK 45 197 75 LC 3068</v>
          </cell>
          <cell r="B766">
            <v>50943000</v>
          </cell>
        </row>
        <row r="767">
          <cell r="A767" t="str">
            <v>AK 45 197 75 LC 3069</v>
          </cell>
          <cell r="B767">
            <v>46340000</v>
          </cell>
        </row>
        <row r="768">
          <cell r="A768" t="str">
            <v>AK 45 197 75 LC 3070</v>
          </cell>
          <cell r="B768">
            <v>50944000</v>
          </cell>
        </row>
        <row r="769">
          <cell r="A769" t="str">
            <v>AK 45 197 75 LC 3071</v>
          </cell>
          <cell r="B769">
            <v>46345000</v>
          </cell>
        </row>
        <row r="770">
          <cell r="A770" t="str">
            <v>AK 45 197 75 LC 3072</v>
          </cell>
          <cell r="B770">
            <v>46347000</v>
          </cell>
        </row>
        <row r="771">
          <cell r="A771" t="str">
            <v>AK 45 197 75 LC 3073</v>
          </cell>
          <cell r="B771">
            <v>46347000</v>
          </cell>
        </row>
        <row r="772">
          <cell r="A772" t="str">
            <v>AK 45 197 75 LC 3074</v>
          </cell>
          <cell r="B772">
            <v>46345000</v>
          </cell>
        </row>
        <row r="773">
          <cell r="A773" t="str">
            <v>AK 45 197 75 LC 3075</v>
          </cell>
          <cell r="B773">
            <v>50944000</v>
          </cell>
        </row>
        <row r="774">
          <cell r="A774" t="str">
            <v>AK 45 197 75 LC 3076</v>
          </cell>
          <cell r="B774">
            <v>69585000</v>
          </cell>
        </row>
        <row r="775">
          <cell r="A775" t="str">
            <v>AK 45 197 75 LC 3078</v>
          </cell>
          <cell r="B775">
            <v>50944000</v>
          </cell>
        </row>
        <row r="776">
          <cell r="A776" t="str">
            <v>AK 45 197 75 LC 3079</v>
          </cell>
          <cell r="B776">
            <v>50944000</v>
          </cell>
        </row>
        <row r="777">
          <cell r="A777" t="str">
            <v>AK 45 197 75 LC 3080</v>
          </cell>
          <cell r="B777">
            <v>50944000</v>
          </cell>
        </row>
        <row r="778">
          <cell r="A778" t="str">
            <v>AK 45 197 75 LC 3081</v>
          </cell>
          <cell r="B778">
            <v>50944000</v>
          </cell>
        </row>
        <row r="779">
          <cell r="A779" t="str">
            <v>AK 45 197 75 LC 3082</v>
          </cell>
          <cell r="B779">
            <v>50944000</v>
          </cell>
        </row>
        <row r="780">
          <cell r="A780" t="str">
            <v>AK 45 197 75 LC 3083</v>
          </cell>
          <cell r="B780">
            <v>50944000</v>
          </cell>
        </row>
        <row r="781">
          <cell r="A781" t="str">
            <v>AK 45 197 75 LC 3084</v>
          </cell>
          <cell r="B781">
            <v>50944000</v>
          </cell>
        </row>
        <row r="782">
          <cell r="A782" t="str">
            <v>AK 45 197 75 LC 3085</v>
          </cell>
          <cell r="B782">
            <v>50944000</v>
          </cell>
        </row>
        <row r="783">
          <cell r="A783" t="str">
            <v>AK 45 197 75 LC 3086</v>
          </cell>
          <cell r="B783">
            <v>50944000</v>
          </cell>
        </row>
        <row r="784">
          <cell r="A784" t="str">
            <v>AK 45 197 75 LC 3087</v>
          </cell>
          <cell r="B784">
            <v>50944000</v>
          </cell>
        </row>
        <row r="785">
          <cell r="A785" t="str">
            <v>AK 45 197 75 LC 3088</v>
          </cell>
          <cell r="B785">
            <v>50944000</v>
          </cell>
        </row>
        <row r="786">
          <cell r="A786" t="str">
            <v>AK 45 197 75 LC 7089</v>
          </cell>
          <cell r="B786">
            <v>50944000</v>
          </cell>
        </row>
        <row r="787">
          <cell r="A787" t="str">
            <v>AK 45 197 75 LC 3090</v>
          </cell>
          <cell r="B787">
            <v>50944000</v>
          </cell>
        </row>
        <row r="788">
          <cell r="A788" t="str">
            <v>AK 45 197 75 LC 3091</v>
          </cell>
          <cell r="B788">
            <v>50944000</v>
          </cell>
        </row>
        <row r="789">
          <cell r="A789" t="str">
            <v>AK 45 197 75 LC 3092</v>
          </cell>
          <cell r="B789">
            <v>50944000</v>
          </cell>
        </row>
        <row r="790">
          <cell r="A790" t="str">
            <v>AK 45 197 75 LC 3093</v>
          </cell>
          <cell r="B790">
            <v>50944000</v>
          </cell>
        </row>
        <row r="791">
          <cell r="A791" t="str">
            <v>AK 45 197 75 LC 3095</v>
          </cell>
          <cell r="B791">
            <v>69583000</v>
          </cell>
        </row>
        <row r="792">
          <cell r="A792" t="str">
            <v>AK 45 197 75 LC 3096</v>
          </cell>
          <cell r="B792">
            <v>106608000</v>
          </cell>
        </row>
        <row r="793">
          <cell r="A793" t="str">
            <v>AK 45 197 75 LC 3097</v>
          </cell>
          <cell r="B793">
            <v>106608000</v>
          </cell>
        </row>
        <row r="794">
          <cell r="A794" t="str">
            <v>AK 45 197 75 LC 3098</v>
          </cell>
          <cell r="B794">
            <v>69583000</v>
          </cell>
        </row>
        <row r="795">
          <cell r="A795" t="str">
            <v>AK 45 197 75 LC 3099</v>
          </cell>
          <cell r="B795">
            <v>69583000</v>
          </cell>
        </row>
        <row r="796">
          <cell r="A796" t="str">
            <v>AK 45 197 75 LC 3100</v>
          </cell>
          <cell r="B796">
            <v>69582000</v>
          </cell>
        </row>
        <row r="797">
          <cell r="A797" t="str">
            <v>AK 45 197 75 LC 3101</v>
          </cell>
          <cell r="B797">
            <v>69584000</v>
          </cell>
        </row>
        <row r="798">
          <cell r="A798" t="str">
            <v>AK 45 197 75 LC 3102</v>
          </cell>
          <cell r="B798">
            <v>69584000</v>
          </cell>
        </row>
        <row r="799">
          <cell r="A799" t="str">
            <v>AK 45 197 75 LC 3103</v>
          </cell>
          <cell r="B799">
            <v>69584000</v>
          </cell>
        </row>
        <row r="800">
          <cell r="A800" t="str">
            <v>AK 45 197 75 LC 3104</v>
          </cell>
          <cell r="B800">
            <v>83365000</v>
          </cell>
        </row>
        <row r="801">
          <cell r="A801" t="str">
            <v>AK 45 197 75 LC 3105</v>
          </cell>
          <cell r="B801">
            <v>50944000</v>
          </cell>
        </row>
        <row r="802">
          <cell r="A802" t="str">
            <v>AK 45 197 75 LC 3106</v>
          </cell>
          <cell r="B802">
            <v>50944000</v>
          </cell>
        </row>
        <row r="803">
          <cell r="A803" t="str">
            <v>AK 45 197 75 LC 3107</v>
          </cell>
          <cell r="B803">
            <v>50944000</v>
          </cell>
        </row>
        <row r="804">
          <cell r="A804" t="str">
            <v>AK 45 197 75 LC 3108</v>
          </cell>
          <cell r="B804">
            <v>50944000</v>
          </cell>
        </row>
        <row r="805">
          <cell r="A805" t="str">
            <v>AK 45 197 75 LC 3109</v>
          </cell>
          <cell r="B805">
            <v>50944000</v>
          </cell>
        </row>
        <row r="806">
          <cell r="A806" t="str">
            <v>AK 45 197 75 LC 3110</v>
          </cell>
          <cell r="B806">
            <v>50944000</v>
          </cell>
        </row>
        <row r="807">
          <cell r="A807" t="str">
            <v>AK 45 197 75 LC 3111</v>
          </cell>
          <cell r="B807">
            <v>50944000</v>
          </cell>
        </row>
        <row r="808">
          <cell r="A808" t="str">
            <v>AK 45 197 75 LC 3112</v>
          </cell>
          <cell r="B808">
            <v>50944000</v>
          </cell>
        </row>
        <row r="809">
          <cell r="A809" t="str">
            <v>AK 45 197 75 LC 3113</v>
          </cell>
          <cell r="B809">
            <v>50944000</v>
          </cell>
        </row>
        <row r="810">
          <cell r="A810" t="str">
            <v>AK 45 197 75 LC 3114</v>
          </cell>
          <cell r="B810">
            <v>50944000</v>
          </cell>
        </row>
        <row r="811">
          <cell r="A811" t="str">
            <v>AK 45 197 75 LC 3115</v>
          </cell>
          <cell r="B811">
            <v>50944000</v>
          </cell>
        </row>
        <row r="812">
          <cell r="A812" t="str">
            <v>AK 45 197 75 LC 3116</v>
          </cell>
          <cell r="B812">
            <v>50944000</v>
          </cell>
        </row>
        <row r="813">
          <cell r="A813" t="str">
            <v>AK 45 197 75 LC 3117</v>
          </cell>
          <cell r="B813">
            <v>50944000</v>
          </cell>
        </row>
        <row r="814">
          <cell r="A814" t="str">
            <v>AK 45 197 75 LC 3118</v>
          </cell>
          <cell r="B814">
            <v>50944000</v>
          </cell>
        </row>
        <row r="815">
          <cell r="A815" t="str">
            <v>AK 45 197 75 LC 3120</v>
          </cell>
          <cell r="B815">
            <v>50944000</v>
          </cell>
        </row>
        <row r="816">
          <cell r="A816" t="str">
            <v>AK 45 197 75 LC 3121</v>
          </cell>
          <cell r="B816">
            <v>50944000</v>
          </cell>
        </row>
        <row r="817">
          <cell r="A817" t="str">
            <v>AK 45 197 75 LC 3122</v>
          </cell>
          <cell r="B817">
            <v>69585000</v>
          </cell>
        </row>
        <row r="818">
          <cell r="A818" t="str">
            <v>AK 45 197 75 LC 3123</v>
          </cell>
          <cell r="B818">
            <v>50944000</v>
          </cell>
        </row>
        <row r="819">
          <cell r="A819" t="str">
            <v>AK 45 197 75 LC 3124</v>
          </cell>
          <cell r="B819">
            <v>46345000</v>
          </cell>
        </row>
        <row r="820">
          <cell r="A820" t="str">
            <v>AK 45 197 75 LC 3125</v>
          </cell>
          <cell r="B820">
            <v>46347000</v>
          </cell>
        </row>
        <row r="821">
          <cell r="A821" t="str">
            <v>AK 45 197 75 LC 3127</v>
          </cell>
          <cell r="B821">
            <v>46345000</v>
          </cell>
        </row>
        <row r="822">
          <cell r="A822" t="str">
            <v>AK 45 197 75 LC 3128</v>
          </cell>
          <cell r="B822">
            <v>50944000</v>
          </cell>
        </row>
        <row r="823">
          <cell r="A823" t="str">
            <v>AK 45 197 75 LC 3129</v>
          </cell>
          <cell r="B823">
            <v>46340000</v>
          </cell>
        </row>
        <row r="824">
          <cell r="A824" t="str">
            <v>AK 45 197 75 LC 3130</v>
          </cell>
          <cell r="B824">
            <v>69579000</v>
          </cell>
        </row>
        <row r="825">
          <cell r="A825" t="str">
            <v>AK 45 197 75 LC 3131</v>
          </cell>
          <cell r="B825">
            <v>69581000</v>
          </cell>
        </row>
        <row r="826">
          <cell r="A826" t="str">
            <v>AK 45 197 75 LC 3133</v>
          </cell>
          <cell r="B826">
            <v>55665000</v>
          </cell>
        </row>
        <row r="827">
          <cell r="A827" t="str">
            <v>AK 45 197 75 LC 3134</v>
          </cell>
          <cell r="B827">
            <v>55668000</v>
          </cell>
        </row>
        <row r="828">
          <cell r="A828" t="str">
            <v>AK 45 197 75 LC 3135</v>
          </cell>
          <cell r="B828">
            <v>88091000</v>
          </cell>
        </row>
        <row r="829">
          <cell r="A829" t="str">
            <v>AK 45 197 75 LC 3136</v>
          </cell>
          <cell r="B829">
            <v>83369000</v>
          </cell>
        </row>
        <row r="830">
          <cell r="A830" t="str">
            <v>AK 45 197 75 LC 3137</v>
          </cell>
          <cell r="B830">
            <v>55665000</v>
          </cell>
        </row>
        <row r="831">
          <cell r="A831" t="str">
            <v>AK 45 197 75 LC 3138</v>
          </cell>
          <cell r="B831">
            <v>69578000</v>
          </cell>
        </row>
        <row r="832">
          <cell r="A832" t="str">
            <v>AK 45 197 75 LC 3140</v>
          </cell>
          <cell r="B832">
            <v>46349000</v>
          </cell>
        </row>
        <row r="833">
          <cell r="A833" t="str">
            <v>AK 45 197 75 LC 3141</v>
          </cell>
          <cell r="B833">
            <v>78766000</v>
          </cell>
        </row>
        <row r="834">
          <cell r="A834" t="str">
            <v>AK 45 197 75 LC 3142</v>
          </cell>
          <cell r="B834">
            <v>50941000</v>
          </cell>
        </row>
        <row r="835">
          <cell r="A835" t="str">
            <v>AK 45 197 75 LC 3143</v>
          </cell>
          <cell r="B835">
            <v>88089000</v>
          </cell>
        </row>
        <row r="836">
          <cell r="A836" t="str">
            <v>AK 45 197 75 LC 3144</v>
          </cell>
          <cell r="B836">
            <v>64853000</v>
          </cell>
        </row>
        <row r="837">
          <cell r="A837" t="str">
            <v>AK 45 197 75 LC 3145</v>
          </cell>
          <cell r="B837">
            <v>64853000</v>
          </cell>
        </row>
        <row r="838">
          <cell r="A838" t="str">
            <v>AK 45 197 75 LC 3146</v>
          </cell>
          <cell r="B838">
            <v>88089000</v>
          </cell>
        </row>
        <row r="839">
          <cell r="A839" t="str">
            <v>AK 45 197 75 LC 3147</v>
          </cell>
          <cell r="B839">
            <v>69583000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cpred"/>
      <sheetName val="planilla"/>
      <sheetName val="Hoja1"/>
    </sheetNames>
    <sheetDataSet>
      <sheetData sheetId="0">
        <row r="9">
          <cell r="B9" t="str">
            <v>2012-591498</v>
          </cell>
          <cell r="C9" t="str">
            <v>001342010400000000</v>
          </cell>
          <cell r="D9" t="str">
            <v>DG 33 SUR 17A 03 ESTE</v>
          </cell>
          <cell r="E9" t="str">
            <v>AAA0006SWPP</v>
          </cell>
          <cell r="F9">
            <v>8364</v>
          </cell>
          <cell r="G9">
            <v>58500</v>
          </cell>
          <cell r="H9">
            <v>0</v>
          </cell>
          <cell r="I9" t="str">
            <v>63</v>
          </cell>
          <cell r="J9" t="str">
            <v>-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489294000</v>
          </cell>
          <cell r="P9">
            <v>0</v>
          </cell>
          <cell r="Q9">
            <v>8364</v>
          </cell>
          <cell r="R9">
            <v>18000</v>
          </cell>
          <cell r="S9">
            <v>19800</v>
          </cell>
          <cell r="T9">
            <v>165607000</v>
          </cell>
          <cell r="U9" t="str">
            <v>6611130110001  001800</v>
          </cell>
          <cell r="V9">
            <v>8364</v>
          </cell>
          <cell r="W9">
            <v>18000</v>
          </cell>
          <cell r="X9" t="str">
            <v>001980</v>
          </cell>
          <cell r="Y9">
            <v>489294000</v>
          </cell>
          <cell r="Z9">
            <v>8364</v>
          </cell>
          <cell r="AA9">
            <v>58500</v>
          </cell>
        </row>
        <row r="10">
          <cell r="B10" t="str">
            <v>2012-591709</v>
          </cell>
          <cell r="C10" t="str">
            <v>001342010500000000</v>
          </cell>
          <cell r="D10" t="str">
            <v>CL 40 BIS SUR 17 90 ESTE IN 1</v>
          </cell>
          <cell r="E10" t="str">
            <v>AAA0006SWRU</v>
          </cell>
          <cell r="F10">
            <v>15369</v>
          </cell>
          <cell r="G10">
            <v>58500</v>
          </cell>
          <cell r="H10">
            <v>0</v>
          </cell>
          <cell r="I10" t="str">
            <v>63</v>
          </cell>
          <cell r="J10" t="str">
            <v>-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899087000</v>
          </cell>
          <cell r="P10">
            <v>0</v>
          </cell>
          <cell r="Q10">
            <v>15369</v>
          </cell>
          <cell r="R10">
            <v>18000</v>
          </cell>
          <cell r="S10">
            <v>19800</v>
          </cell>
          <cell r="T10">
            <v>304306000</v>
          </cell>
          <cell r="U10" t="str">
            <v>6611130110001  001800</v>
          </cell>
          <cell r="V10">
            <v>15369</v>
          </cell>
          <cell r="W10">
            <v>18000</v>
          </cell>
          <cell r="X10" t="str">
            <v>001980</v>
          </cell>
          <cell r="Y10">
            <v>899087000</v>
          </cell>
          <cell r="Z10">
            <v>15369</v>
          </cell>
          <cell r="AA10">
            <v>58500</v>
          </cell>
        </row>
        <row r="11">
          <cell r="B11" t="str">
            <v>2012-591720</v>
          </cell>
          <cell r="C11" t="str">
            <v>001342010700000000</v>
          </cell>
          <cell r="D11" t="str">
            <v>DG 33 SUR 14A 03 ESTE</v>
          </cell>
          <cell r="E11" t="str">
            <v>AAA0006SWTO</v>
          </cell>
          <cell r="F11">
            <v>9752</v>
          </cell>
          <cell r="G11">
            <v>58500</v>
          </cell>
          <cell r="H11">
            <v>0</v>
          </cell>
          <cell r="I11" t="str">
            <v>63</v>
          </cell>
          <cell r="J11" t="str">
            <v>-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570492000</v>
          </cell>
          <cell r="P11">
            <v>0</v>
          </cell>
          <cell r="Q11">
            <v>9752</v>
          </cell>
          <cell r="R11">
            <v>18000</v>
          </cell>
          <cell r="S11">
            <v>19800</v>
          </cell>
          <cell r="T11">
            <v>193090000</v>
          </cell>
          <cell r="U11" t="str">
            <v>6611130110001  001800</v>
          </cell>
          <cell r="V11">
            <v>9752</v>
          </cell>
          <cell r="W11">
            <v>18000</v>
          </cell>
          <cell r="X11" t="str">
            <v>001980</v>
          </cell>
          <cell r="Y11">
            <v>570492000</v>
          </cell>
          <cell r="Z11">
            <v>9752</v>
          </cell>
          <cell r="AA11">
            <v>58500</v>
          </cell>
        </row>
        <row r="12">
          <cell r="B12" t="str">
            <v>2012-591732</v>
          </cell>
          <cell r="C12" t="str">
            <v>001342010800000000</v>
          </cell>
          <cell r="D12" t="str">
            <v>DG 33 SUR 14A 03 ESTE IN 1</v>
          </cell>
          <cell r="E12" t="str">
            <v>AAA0006SWUZ</v>
          </cell>
          <cell r="F12">
            <v>5685</v>
          </cell>
          <cell r="G12">
            <v>58500</v>
          </cell>
          <cell r="H12">
            <v>0</v>
          </cell>
          <cell r="I12" t="str">
            <v>63</v>
          </cell>
          <cell r="J12" t="str">
            <v>-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332573000</v>
          </cell>
          <cell r="P12">
            <v>0</v>
          </cell>
          <cell r="Q12">
            <v>5685</v>
          </cell>
          <cell r="R12">
            <v>18000</v>
          </cell>
          <cell r="S12">
            <v>19800</v>
          </cell>
          <cell r="T12">
            <v>112563000</v>
          </cell>
          <cell r="U12" t="str">
            <v>6611130110001  001800</v>
          </cell>
          <cell r="V12">
            <v>5685</v>
          </cell>
          <cell r="W12">
            <v>18000</v>
          </cell>
          <cell r="X12" t="str">
            <v>001980</v>
          </cell>
          <cell r="Y12">
            <v>332573000</v>
          </cell>
          <cell r="Z12">
            <v>5685</v>
          </cell>
          <cell r="AA12">
            <v>58500</v>
          </cell>
        </row>
        <row r="13">
          <cell r="B13" t="str">
            <v>2012-591762</v>
          </cell>
          <cell r="C13" t="str">
            <v>001342010900000000</v>
          </cell>
          <cell r="D13" t="str">
            <v>DG 33 SUR 13A 03 ESTE</v>
          </cell>
          <cell r="E13" t="str">
            <v>AAA0006SWWF</v>
          </cell>
          <cell r="F13">
            <v>6424</v>
          </cell>
          <cell r="G13">
            <v>58500</v>
          </cell>
          <cell r="H13">
            <v>0</v>
          </cell>
          <cell r="I13" t="str">
            <v>63</v>
          </cell>
          <cell r="J13" t="str">
            <v>-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375804000</v>
          </cell>
          <cell r="P13">
            <v>0</v>
          </cell>
          <cell r="Q13">
            <v>6424</v>
          </cell>
          <cell r="R13">
            <v>18000</v>
          </cell>
          <cell r="S13">
            <v>19800</v>
          </cell>
          <cell r="T13">
            <v>127195000</v>
          </cell>
          <cell r="U13" t="str">
            <v>6611130110001  001800</v>
          </cell>
          <cell r="V13">
            <v>6424</v>
          </cell>
          <cell r="W13">
            <v>18000</v>
          </cell>
          <cell r="X13" t="str">
            <v>001980</v>
          </cell>
          <cell r="Y13">
            <v>375804000</v>
          </cell>
          <cell r="Z13">
            <v>6424</v>
          </cell>
          <cell r="AA13">
            <v>58500</v>
          </cell>
        </row>
        <row r="14">
          <cell r="B14" t="str">
            <v>2012-592453</v>
          </cell>
          <cell r="C14" t="str">
            <v>001342764400000000</v>
          </cell>
          <cell r="D14" t="str">
            <v>CL 40A BIS S 16A 51E</v>
          </cell>
          <cell r="E14" t="str">
            <v>AAA0006UUHY</v>
          </cell>
          <cell r="F14">
            <v>36</v>
          </cell>
          <cell r="G14">
            <v>58500</v>
          </cell>
          <cell r="H14">
            <v>0</v>
          </cell>
          <cell r="I14" t="str">
            <v>61</v>
          </cell>
          <cell r="J14" t="str">
            <v>-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2106000</v>
          </cell>
          <cell r="P14">
            <v>0</v>
          </cell>
          <cell r="Q14">
            <v>36</v>
          </cell>
          <cell r="R14">
            <v>18000</v>
          </cell>
          <cell r="S14">
            <v>19800</v>
          </cell>
          <cell r="T14">
            <v>713000</v>
          </cell>
          <cell r="U14" t="str">
            <v>6611130110001  001800</v>
          </cell>
          <cell r="V14">
            <v>36</v>
          </cell>
          <cell r="W14">
            <v>18000</v>
          </cell>
          <cell r="X14" t="str">
            <v>001980</v>
          </cell>
          <cell r="Y14">
            <v>2106000</v>
          </cell>
          <cell r="Z14">
            <v>36</v>
          </cell>
          <cell r="AA14">
            <v>58500</v>
          </cell>
        </row>
        <row r="15">
          <cell r="B15" t="str">
            <v>2012-592455</v>
          </cell>
          <cell r="C15" t="str">
            <v>001342591400000000</v>
          </cell>
          <cell r="D15" t="str">
            <v>CL 40ABIS S 17A 46E</v>
          </cell>
          <cell r="E15" t="str">
            <v>AAA0006TAUH</v>
          </cell>
          <cell r="F15">
            <v>36</v>
          </cell>
          <cell r="G15">
            <v>58500</v>
          </cell>
          <cell r="H15">
            <v>0</v>
          </cell>
          <cell r="I15" t="str">
            <v>61</v>
          </cell>
          <cell r="J15" t="str">
            <v>-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2106000</v>
          </cell>
          <cell r="P15">
            <v>0</v>
          </cell>
          <cell r="Q15">
            <v>36</v>
          </cell>
          <cell r="R15">
            <v>18000</v>
          </cell>
          <cell r="S15">
            <v>19800</v>
          </cell>
          <cell r="T15">
            <v>713000</v>
          </cell>
          <cell r="U15" t="str">
            <v>6611130110001  001800</v>
          </cell>
          <cell r="V15">
            <v>36</v>
          </cell>
          <cell r="W15">
            <v>18000</v>
          </cell>
          <cell r="X15" t="str">
            <v>001980</v>
          </cell>
          <cell r="Y15">
            <v>2106000</v>
          </cell>
          <cell r="Z15">
            <v>36</v>
          </cell>
          <cell r="AA15">
            <v>58500</v>
          </cell>
        </row>
        <row r="16">
          <cell r="B16" t="str">
            <v>2012-592496</v>
          </cell>
          <cell r="C16" t="str">
            <v>001342764900000000</v>
          </cell>
          <cell r="D16" t="str">
            <v>CL 40A BIS S 16A 71E</v>
          </cell>
          <cell r="E16" t="str">
            <v>AAA0006UUNN</v>
          </cell>
          <cell r="F16">
            <v>36</v>
          </cell>
          <cell r="G16">
            <v>58500</v>
          </cell>
          <cell r="H16">
            <v>0</v>
          </cell>
          <cell r="I16" t="str">
            <v>61</v>
          </cell>
          <cell r="J16" t="str">
            <v>-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2106000</v>
          </cell>
          <cell r="P16">
            <v>0</v>
          </cell>
          <cell r="Q16">
            <v>36</v>
          </cell>
          <cell r="R16">
            <v>18000</v>
          </cell>
          <cell r="S16">
            <v>19800</v>
          </cell>
          <cell r="T16">
            <v>713000</v>
          </cell>
          <cell r="U16" t="str">
            <v>6611130110001  001800</v>
          </cell>
          <cell r="V16">
            <v>36</v>
          </cell>
          <cell r="W16">
            <v>18000</v>
          </cell>
          <cell r="X16" t="str">
            <v>001980</v>
          </cell>
          <cell r="Y16">
            <v>2106000</v>
          </cell>
          <cell r="Z16">
            <v>36</v>
          </cell>
          <cell r="AA16">
            <v>58500</v>
          </cell>
        </row>
        <row r="17">
          <cell r="B17" t="str">
            <v>2012-592497</v>
          </cell>
          <cell r="C17" t="str">
            <v>001342775000000000</v>
          </cell>
          <cell r="D17" t="str">
            <v>KR 17E 40 41S</v>
          </cell>
          <cell r="E17" t="str">
            <v>AAA0006UYHY</v>
          </cell>
          <cell r="F17">
            <v>36</v>
          </cell>
          <cell r="G17">
            <v>58500</v>
          </cell>
          <cell r="H17">
            <v>0</v>
          </cell>
          <cell r="I17" t="str">
            <v>61</v>
          </cell>
          <cell r="J17" t="str">
            <v>-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2106000</v>
          </cell>
          <cell r="P17">
            <v>0</v>
          </cell>
          <cell r="Q17">
            <v>36</v>
          </cell>
          <cell r="R17">
            <v>18000</v>
          </cell>
          <cell r="S17">
            <v>19800</v>
          </cell>
          <cell r="T17">
            <v>713000</v>
          </cell>
          <cell r="U17" t="str">
            <v>6611130110001  001800</v>
          </cell>
          <cell r="V17">
            <v>36</v>
          </cell>
          <cell r="W17">
            <v>18000</v>
          </cell>
          <cell r="X17" t="str">
            <v>001980</v>
          </cell>
          <cell r="Y17">
            <v>2106000</v>
          </cell>
          <cell r="Z17">
            <v>36</v>
          </cell>
          <cell r="AA17">
            <v>58500</v>
          </cell>
        </row>
        <row r="18">
          <cell r="B18" t="str">
            <v>2012-592498</v>
          </cell>
          <cell r="C18" t="str">
            <v>001342774900000000</v>
          </cell>
          <cell r="D18" t="str">
            <v>KR 17E 40 35S</v>
          </cell>
          <cell r="E18" t="str">
            <v>AAA0006UYFT</v>
          </cell>
          <cell r="F18">
            <v>36</v>
          </cell>
          <cell r="G18">
            <v>58500</v>
          </cell>
          <cell r="H18">
            <v>0</v>
          </cell>
          <cell r="I18" t="str">
            <v>61</v>
          </cell>
          <cell r="J18" t="str">
            <v>-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2106000</v>
          </cell>
          <cell r="P18">
            <v>0</v>
          </cell>
          <cell r="Q18">
            <v>36</v>
          </cell>
          <cell r="R18">
            <v>18000</v>
          </cell>
          <cell r="S18">
            <v>19800</v>
          </cell>
          <cell r="T18">
            <v>713000</v>
          </cell>
          <cell r="U18" t="str">
            <v>6611130110001  001800</v>
          </cell>
          <cell r="V18">
            <v>36</v>
          </cell>
          <cell r="W18">
            <v>18000</v>
          </cell>
          <cell r="X18" t="str">
            <v>001980</v>
          </cell>
          <cell r="Y18">
            <v>2106000</v>
          </cell>
          <cell r="Z18">
            <v>36</v>
          </cell>
          <cell r="AA18">
            <v>58500</v>
          </cell>
        </row>
        <row r="19">
          <cell r="B19" t="str">
            <v>2012-592499</v>
          </cell>
          <cell r="C19" t="str">
            <v>001342774800000000</v>
          </cell>
          <cell r="D19" t="str">
            <v>KR 17E 40 29S</v>
          </cell>
          <cell r="E19" t="str">
            <v>AAA0006UYEA</v>
          </cell>
          <cell r="F19">
            <v>36</v>
          </cell>
          <cell r="G19">
            <v>58500</v>
          </cell>
          <cell r="H19">
            <v>0</v>
          </cell>
          <cell r="I19" t="str">
            <v>61</v>
          </cell>
          <cell r="J19" t="str">
            <v>-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2106000</v>
          </cell>
          <cell r="P19">
            <v>0</v>
          </cell>
          <cell r="Q19">
            <v>36</v>
          </cell>
          <cell r="R19">
            <v>18000</v>
          </cell>
          <cell r="S19">
            <v>19800</v>
          </cell>
          <cell r="T19">
            <v>713000</v>
          </cell>
          <cell r="U19" t="str">
            <v>6611130110001  001800</v>
          </cell>
          <cell r="V19">
            <v>36</v>
          </cell>
          <cell r="W19">
            <v>18000</v>
          </cell>
          <cell r="X19" t="str">
            <v>001980</v>
          </cell>
          <cell r="Y19">
            <v>2106000</v>
          </cell>
          <cell r="Z19">
            <v>36</v>
          </cell>
          <cell r="AA19">
            <v>58500</v>
          </cell>
        </row>
        <row r="20">
          <cell r="B20" t="str">
            <v>2012-592500</v>
          </cell>
          <cell r="C20" t="str">
            <v>001342774700000000</v>
          </cell>
          <cell r="D20" t="str">
            <v>KR 17E 40 23S</v>
          </cell>
          <cell r="E20" t="str">
            <v>AAA0006UYDM</v>
          </cell>
          <cell r="F20">
            <v>36</v>
          </cell>
          <cell r="G20">
            <v>58500</v>
          </cell>
          <cell r="H20">
            <v>0</v>
          </cell>
          <cell r="I20" t="str">
            <v>61</v>
          </cell>
          <cell r="J20" t="str">
            <v>-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2106000</v>
          </cell>
          <cell r="P20">
            <v>0</v>
          </cell>
          <cell r="Q20">
            <v>36</v>
          </cell>
          <cell r="R20">
            <v>18000</v>
          </cell>
          <cell r="S20">
            <v>19800</v>
          </cell>
          <cell r="T20">
            <v>713000</v>
          </cell>
          <cell r="U20" t="str">
            <v>6611130110001  001800</v>
          </cell>
          <cell r="V20">
            <v>36</v>
          </cell>
          <cell r="W20">
            <v>18000</v>
          </cell>
          <cell r="X20" t="str">
            <v>001980</v>
          </cell>
          <cell r="Y20">
            <v>2106000</v>
          </cell>
          <cell r="Z20">
            <v>36</v>
          </cell>
          <cell r="AA20">
            <v>58500</v>
          </cell>
        </row>
        <row r="21">
          <cell r="B21" t="str">
            <v>2012-592501</v>
          </cell>
          <cell r="C21" t="str">
            <v>001342774600000000</v>
          </cell>
          <cell r="D21" t="str">
            <v>KR 17E 40 17S</v>
          </cell>
          <cell r="E21" t="str">
            <v>AAA0006UYCX</v>
          </cell>
          <cell r="F21">
            <v>36</v>
          </cell>
          <cell r="G21">
            <v>58500</v>
          </cell>
          <cell r="H21">
            <v>0</v>
          </cell>
          <cell r="I21" t="str">
            <v>61</v>
          </cell>
          <cell r="J21" t="str">
            <v>-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2106000</v>
          </cell>
          <cell r="P21">
            <v>0</v>
          </cell>
          <cell r="Q21">
            <v>36</v>
          </cell>
          <cell r="R21">
            <v>18000</v>
          </cell>
          <cell r="S21">
            <v>19800</v>
          </cell>
          <cell r="T21">
            <v>713000</v>
          </cell>
          <cell r="U21" t="str">
            <v>6611130110001  001800</v>
          </cell>
          <cell r="V21">
            <v>36</v>
          </cell>
          <cell r="W21">
            <v>18000</v>
          </cell>
          <cell r="X21" t="str">
            <v>001980</v>
          </cell>
          <cell r="Y21">
            <v>2106000</v>
          </cell>
          <cell r="Z21">
            <v>36</v>
          </cell>
          <cell r="AA21">
            <v>58500</v>
          </cell>
        </row>
        <row r="22">
          <cell r="B22" t="str">
            <v>2012-592503</v>
          </cell>
          <cell r="C22" t="str">
            <v>001342774500000000</v>
          </cell>
          <cell r="D22" t="str">
            <v>KR 17E 40 11S</v>
          </cell>
          <cell r="E22" t="str">
            <v>AAA0006UYBR</v>
          </cell>
          <cell r="F22">
            <v>36</v>
          </cell>
          <cell r="G22">
            <v>58500</v>
          </cell>
          <cell r="H22">
            <v>0</v>
          </cell>
          <cell r="I22" t="str">
            <v>61</v>
          </cell>
          <cell r="J22" t="str">
            <v>-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2106000</v>
          </cell>
          <cell r="P22">
            <v>0</v>
          </cell>
          <cell r="Q22">
            <v>36</v>
          </cell>
          <cell r="R22">
            <v>18000</v>
          </cell>
          <cell r="S22">
            <v>19800</v>
          </cell>
          <cell r="T22">
            <v>713000</v>
          </cell>
          <cell r="U22" t="str">
            <v>6611130110001  001800</v>
          </cell>
          <cell r="V22">
            <v>36</v>
          </cell>
          <cell r="W22">
            <v>18000</v>
          </cell>
          <cell r="X22" t="str">
            <v>001980</v>
          </cell>
          <cell r="Y22">
            <v>2106000</v>
          </cell>
          <cell r="Z22">
            <v>36</v>
          </cell>
          <cell r="AA22">
            <v>58500</v>
          </cell>
        </row>
        <row r="23">
          <cell r="B23" t="str">
            <v>2012-592504</v>
          </cell>
          <cell r="C23" t="str">
            <v>001342774300000000</v>
          </cell>
          <cell r="D23" t="str">
            <v>CL 40S 16A 87E</v>
          </cell>
          <cell r="E23" t="str">
            <v>AAA0006UXZE</v>
          </cell>
          <cell r="F23">
            <v>36</v>
          </cell>
          <cell r="G23">
            <v>58500</v>
          </cell>
          <cell r="H23">
            <v>0</v>
          </cell>
          <cell r="I23" t="str">
            <v>61</v>
          </cell>
          <cell r="J23" t="str">
            <v>-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2106000</v>
          </cell>
          <cell r="P23">
            <v>0</v>
          </cell>
          <cell r="Q23">
            <v>36</v>
          </cell>
          <cell r="R23">
            <v>18000</v>
          </cell>
          <cell r="S23">
            <v>19800</v>
          </cell>
          <cell r="T23">
            <v>713000</v>
          </cell>
          <cell r="U23" t="str">
            <v>6611130110001  001800</v>
          </cell>
          <cell r="V23">
            <v>36</v>
          </cell>
          <cell r="W23">
            <v>18000</v>
          </cell>
          <cell r="X23" t="str">
            <v>001980</v>
          </cell>
          <cell r="Y23">
            <v>2106000</v>
          </cell>
          <cell r="Z23">
            <v>36</v>
          </cell>
          <cell r="AA23">
            <v>58500</v>
          </cell>
        </row>
        <row r="24">
          <cell r="B24" t="str">
            <v>2012-592505</v>
          </cell>
          <cell r="C24" t="str">
            <v>001342774400000000</v>
          </cell>
          <cell r="D24" t="str">
            <v>KR 17E 40 07S</v>
          </cell>
          <cell r="E24" t="str">
            <v>AAA0006UYAF</v>
          </cell>
          <cell r="F24">
            <v>36</v>
          </cell>
          <cell r="G24">
            <v>58500</v>
          </cell>
          <cell r="H24">
            <v>0</v>
          </cell>
          <cell r="I24" t="str">
            <v>61</v>
          </cell>
          <cell r="J24" t="str">
            <v>-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2106000</v>
          </cell>
          <cell r="P24">
            <v>0</v>
          </cell>
          <cell r="Q24">
            <v>36</v>
          </cell>
          <cell r="R24">
            <v>18000</v>
          </cell>
          <cell r="S24">
            <v>19800</v>
          </cell>
          <cell r="T24">
            <v>713000</v>
          </cell>
          <cell r="U24" t="str">
            <v>6611130110001  001800</v>
          </cell>
          <cell r="V24">
            <v>36</v>
          </cell>
          <cell r="W24">
            <v>18000</v>
          </cell>
          <cell r="X24" t="str">
            <v>001980</v>
          </cell>
          <cell r="Y24">
            <v>2106000</v>
          </cell>
          <cell r="Z24">
            <v>36</v>
          </cell>
          <cell r="AA24">
            <v>58500</v>
          </cell>
        </row>
        <row r="25">
          <cell r="B25" t="str">
            <v>2012-592507</v>
          </cell>
          <cell r="C25" t="str">
            <v>001342774200000000</v>
          </cell>
          <cell r="D25" t="str">
            <v>CL 40S 16A 83E</v>
          </cell>
          <cell r="E25" t="str">
            <v>AAA0006UXYN</v>
          </cell>
          <cell r="F25">
            <v>36</v>
          </cell>
          <cell r="G25">
            <v>58500</v>
          </cell>
          <cell r="H25">
            <v>0</v>
          </cell>
          <cell r="I25" t="str">
            <v>61</v>
          </cell>
          <cell r="J25" t="str">
            <v>-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2106000</v>
          </cell>
          <cell r="P25">
            <v>0</v>
          </cell>
          <cell r="Q25">
            <v>36</v>
          </cell>
          <cell r="R25">
            <v>18000</v>
          </cell>
          <cell r="S25">
            <v>19800</v>
          </cell>
          <cell r="T25">
            <v>713000</v>
          </cell>
          <cell r="U25" t="str">
            <v>6611130110001  001800</v>
          </cell>
          <cell r="V25">
            <v>36</v>
          </cell>
          <cell r="W25">
            <v>18000</v>
          </cell>
          <cell r="X25" t="str">
            <v>001980</v>
          </cell>
          <cell r="Y25">
            <v>2106000</v>
          </cell>
          <cell r="Z25">
            <v>36</v>
          </cell>
          <cell r="AA25">
            <v>58500</v>
          </cell>
        </row>
        <row r="26">
          <cell r="B26" t="str">
            <v>2012-592508</v>
          </cell>
          <cell r="C26" t="str">
            <v>001342774100000000</v>
          </cell>
          <cell r="D26" t="str">
            <v>CL 40S 16A 79E</v>
          </cell>
          <cell r="E26" t="str">
            <v>AAA0006UXXS</v>
          </cell>
          <cell r="F26">
            <v>36</v>
          </cell>
          <cell r="G26">
            <v>58500</v>
          </cell>
          <cell r="H26">
            <v>0</v>
          </cell>
          <cell r="I26" t="str">
            <v>61</v>
          </cell>
          <cell r="J26" t="str">
            <v>-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2106000</v>
          </cell>
          <cell r="P26">
            <v>0</v>
          </cell>
          <cell r="Q26">
            <v>36</v>
          </cell>
          <cell r="R26">
            <v>18000</v>
          </cell>
          <cell r="S26">
            <v>19800</v>
          </cell>
          <cell r="T26">
            <v>713000</v>
          </cell>
          <cell r="U26" t="str">
            <v>6611130110001  001800</v>
          </cell>
          <cell r="V26">
            <v>36</v>
          </cell>
          <cell r="W26">
            <v>18000</v>
          </cell>
          <cell r="X26" t="str">
            <v>001980</v>
          </cell>
          <cell r="Y26">
            <v>2106000</v>
          </cell>
          <cell r="Z26">
            <v>36</v>
          </cell>
          <cell r="AA26">
            <v>58500</v>
          </cell>
        </row>
        <row r="27">
          <cell r="B27" t="str">
            <v>2012-592509</v>
          </cell>
          <cell r="C27" t="str">
            <v>001342774000000000</v>
          </cell>
          <cell r="D27" t="str">
            <v>CL 40S 16A 75E</v>
          </cell>
          <cell r="E27" t="str">
            <v>AAA0006UXWW</v>
          </cell>
          <cell r="F27">
            <v>36</v>
          </cell>
          <cell r="G27">
            <v>58500</v>
          </cell>
          <cell r="H27">
            <v>0</v>
          </cell>
          <cell r="I27" t="str">
            <v>61</v>
          </cell>
          <cell r="J27" t="str">
            <v>-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2106000</v>
          </cell>
          <cell r="P27">
            <v>0</v>
          </cell>
          <cell r="Q27">
            <v>36</v>
          </cell>
          <cell r="R27">
            <v>18000</v>
          </cell>
          <cell r="S27">
            <v>19800</v>
          </cell>
          <cell r="T27">
            <v>713000</v>
          </cell>
          <cell r="U27" t="str">
            <v>6611130110001  001800</v>
          </cell>
          <cell r="V27">
            <v>36</v>
          </cell>
          <cell r="W27">
            <v>18000</v>
          </cell>
          <cell r="X27" t="str">
            <v>001980</v>
          </cell>
          <cell r="Y27">
            <v>2106000</v>
          </cell>
          <cell r="Z27">
            <v>36</v>
          </cell>
          <cell r="AA27">
            <v>58500</v>
          </cell>
        </row>
        <row r="28">
          <cell r="B28" t="str">
            <v>2012-592510</v>
          </cell>
          <cell r="C28" t="str">
            <v>001342773900000000</v>
          </cell>
          <cell r="D28" t="str">
            <v>CL 40S 16A 71E</v>
          </cell>
          <cell r="E28" t="str">
            <v>AAA0006UXUH</v>
          </cell>
          <cell r="F28">
            <v>36</v>
          </cell>
          <cell r="G28">
            <v>58500</v>
          </cell>
          <cell r="H28">
            <v>0</v>
          </cell>
          <cell r="I28" t="str">
            <v>61</v>
          </cell>
          <cell r="J28" t="str">
            <v>-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2106000</v>
          </cell>
          <cell r="P28">
            <v>0</v>
          </cell>
          <cell r="Q28">
            <v>36</v>
          </cell>
          <cell r="R28">
            <v>18000</v>
          </cell>
          <cell r="S28">
            <v>19800</v>
          </cell>
          <cell r="T28">
            <v>713000</v>
          </cell>
          <cell r="U28" t="str">
            <v>6611130110001  001800</v>
          </cell>
          <cell r="V28">
            <v>36</v>
          </cell>
          <cell r="W28">
            <v>18000</v>
          </cell>
          <cell r="X28" t="str">
            <v>001980</v>
          </cell>
          <cell r="Y28">
            <v>2106000</v>
          </cell>
          <cell r="Z28">
            <v>36</v>
          </cell>
          <cell r="AA28">
            <v>58500</v>
          </cell>
        </row>
        <row r="29">
          <cell r="B29" t="str">
            <v>2012-593017</v>
          </cell>
          <cell r="C29" t="str">
            <v>001342773800000000</v>
          </cell>
          <cell r="D29" t="str">
            <v>CL 40S 16A 67E</v>
          </cell>
          <cell r="E29" t="str">
            <v>AAA0006UXTD</v>
          </cell>
          <cell r="F29">
            <v>36</v>
          </cell>
          <cell r="G29">
            <v>58500</v>
          </cell>
          <cell r="H29">
            <v>0</v>
          </cell>
          <cell r="I29" t="str">
            <v>61</v>
          </cell>
          <cell r="J29" t="str">
            <v>-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2106000</v>
          </cell>
          <cell r="P29">
            <v>0</v>
          </cell>
          <cell r="Q29">
            <v>36</v>
          </cell>
          <cell r="R29">
            <v>18000</v>
          </cell>
          <cell r="S29">
            <v>19800</v>
          </cell>
          <cell r="T29">
            <v>713000</v>
          </cell>
          <cell r="U29" t="str">
            <v>6611130110001  001800</v>
          </cell>
          <cell r="V29">
            <v>36</v>
          </cell>
          <cell r="W29">
            <v>18000</v>
          </cell>
          <cell r="X29" t="str">
            <v>001980</v>
          </cell>
          <cell r="Y29">
            <v>2106000</v>
          </cell>
          <cell r="Z29">
            <v>36</v>
          </cell>
          <cell r="AA29">
            <v>58500</v>
          </cell>
        </row>
        <row r="30">
          <cell r="B30" t="str">
            <v>2012-593026</v>
          </cell>
          <cell r="C30" t="str">
            <v>001342773700000000</v>
          </cell>
          <cell r="D30" t="str">
            <v>CL 40S 16A 63E</v>
          </cell>
          <cell r="E30" t="str">
            <v>AAA0006UXSY</v>
          </cell>
          <cell r="F30">
            <v>36</v>
          </cell>
          <cell r="G30">
            <v>58500</v>
          </cell>
          <cell r="H30">
            <v>0</v>
          </cell>
          <cell r="I30" t="str">
            <v>61</v>
          </cell>
          <cell r="J30" t="str">
            <v>-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2106000</v>
          </cell>
          <cell r="P30">
            <v>0</v>
          </cell>
          <cell r="Q30">
            <v>36</v>
          </cell>
          <cell r="R30">
            <v>18000</v>
          </cell>
          <cell r="S30">
            <v>19800</v>
          </cell>
          <cell r="T30">
            <v>713000</v>
          </cell>
          <cell r="U30" t="str">
            <v>6611130110001  001800</v>
          </cell>
          <cell r="V30">
            <v>36</v>
          </cell>
          <cell r="W30">
            <v>18000</v>
          </cell>
          <cell r="X30" t="str">
            <v>001980</v>
          </cell>
          <cell r="Y30">
            <v>2106000</v>
          </cell>
          <cell r="Z30">
            <v>36</v>
          </cell>
          <cell r="AA30">
            <v>58500</v>
          </cell>
        </row>
        <row r="31">
          <cell r="B31" t="str">
            <v>2012-593030</v>
          </cell>
          <cell r="C31" t="str">
            <v>001342773600000000</v>
          </cell>
          <cell r="D31" t="str">
            <v>CL 40S 16A 59E</v>
          </cell>
          <cell r="E31" t="str">
            <v>AAA0006UXRJ</v>
          </cell>
          <cell r="F31">
            <v>36</v>
          </cell>
          <cell r="G31">
            <v>58500</v>
          </cell>
          <cell r="H31">
            <v>0</v>
          </cell>
          <cell r="I31" t="str">
            <v>61</v>
          </cell>
          <cell r="J31" t="str">
            <v>-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2106000</v>
          </cell>
          <cell r="P31">
            <v>0</v>
          </cell>
          <cell r="Q31">
            <v>36</v>
          </cell>
          <cell r="R31">
            <v>18000</v>
          </cell>
          <cell r="S31">
            <v>19800</v>
          </cell>
          <cell r="T31">
            <v>713000</v>
          </cell>
          <cell r="U31" t="str">
            <v>6611130110001  001800</v>
          </cell>
          <cell r="V31">
            <v>36</v>
          </cell>
          <cell r="W31">
            <v>18000</v>
          </cell>
          <cell r="X31" t="str">
            <v>001980</v>
          </cell>
          <cell r="Y31">
            <v>2106000</v>
          </cell>
          <cell r="Z31">
            <v>36</v>
          </cell>
          <cell r="AA31">
            <v>58500</v>
          </cell>
        </row>
        <row r="32">
          <cell r="B32" t="str">
            <v>2012-593064</v>
          </cell>
          <cell r="C32" t="str">
            <v>001342773500000000</v>
          </cell>
          <cell r="D32" t="str">
            <v>CL 40S 16A 55E</v>
          </cell>
          <cell r="E32" t="str">
            <v>AAA0006UXPA</v>
          </cell>
          <cell r="F32">
            <v>36</v>
          </cell>
          <cell r="G32">
            <v>58500</v>
          </cell>
          <cell r="H32">
            <v>0</v>
          </cell>
          <cell r="I32" t="str">
            <v>61</v>
          </cell>
          <cell r="J32" t="str">
            <v>-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2106000</v>
          </cell>
          <cell r="P32">
            <v>0</v>
          </cell>
          <cell r="Q32">
            <v>36</v>
          </cell>
          <cell r="R32">
            <v>18000</v>
          </cell>
          <cell r="S32">
            <v>19800</v>
          </cell>
          <cell r="T32">
            <v>713000</v>
          </cell>
          <cell r="U32" t="str">
            <v>6611130110001  001800</v>
          </cell>
          <cell r="V32">
            <v>36</v>
          </cell>
          <cell r="W32">
            <v>18000</v>
          </cell>
          <cell r="X32" t="str">
            <v>001980</v>
          </cell>
          <cell r="Y32">
            <v>2106000</v>
          </cell>
          <cell r="Z32">
            <v>36</v>
          </cell>
          <cell r="AA32">
            <v>58500</v>
          </cell>
        </row>
        <row r="33">
          <cell r="B33" t="str">
            <v>2012-593070</v>
          </cell>
          <cell r="C33" t="str">
            <v>001342773400000000</v>
          </cell>
          <cell r="D33" t="str">
            <v>CL 40S 16A 51E</v>
          </cell>
          <cell r="E33" t="str">
            <v>AAA0006UXOM</v>
          </cell>
          <cell r="F33">
            <v>36</v>
          </cell>
          <cell r="G33">
            <v>58500</v>
          </cell>
          <cell r="H33">
            <v>0</v>
          </cell>
          <cell r="I33" t="str">
            <v>61</v>
          </cell>
          <cell r="J33" t="str">
            <v>-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2106000</v>
          </cell>
          <cell r="P33">
            <v>0</v>
          </cell>
          <cell r="Q33">
            <v>36</v>
          </cell>
          <cell r="R33">
            <v>18000</v>
          </cell>
          <cell r="S33">
            <v>19800</v>
          </cell>
          <cell r="T33">
            <v>713000</v>
          </cell>
          <cell r="U33" t="str">
            <v>6611130110001  001800</v>
          </cell>
          <cell r="V33">
            <v>36</v>
          </cell>
          <cell r="W33">
            <v>18000</v>
          </cell>
          <cell r="X33" t="str">
            <v>001980</v>
          </cell>
          <cell r="Y33">
            <v>2106000</v>
          </cell>
          <cell r="Z33">
            <v>36</v>
          </cell>
          <cell r="AA33">
            <v>58500</v>
          </cell>
        </row>
        <row r="34">
          <cell r="B34" t="str">
            <v>2012-593243</v>
          </cell>
          <cell r="C34" t="str">
            <v>001342011000000000</v>
          </cell>
          <cell r="D34" t="str">
            <v>DG 33 SUR 15 03 ESTE</v>
          </cell>
          <cell r="E34" t="str">
            <v>AAA0006SWXR</v>
          </cell>
          <cell r="F34">
            <v>12677</v>
          </cell>
          <cell r="G34">
            <v>58500</v>
          </cell>
          <cell r="H34">
            <v>0</v>
          </cell>
          <cell r="I34" t="str">
            <v>63</v>
          </cell>
          <cell r="J34" t="str">
            <v>-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741605000</v>
          </cell>
          <cell r="P34">
            <v>0</v>
          </cell>
          <cell r="Q34">
            <v>12677</v>
          </cell>
          <cell r="R34">
            <v>18000</v>
          </cell>
          <cell r="S34">
            <v>19800</v>
          </cell>
          <cell r="T34">
            <v>251005000</v>
          </cell>
          <cell r="U34" t="str">
            <v>6611130110001  001800</v>
          </cell>
          <cell r="V34">
            <v>12677</v>
          </cell>
          <cell r="W34">
            <v>18000</v>
          </cell>
          <cell r="X34" t="str">
            <v>001980</v>
          </cell>
          <cell r="Y34">
            <v>741605000</v>
          </cell>
          <cell r="Z34">
            <v>12677</v>
          </cell>
          <cell r="AA34">
            <v>58500</v>
          </cell>
        </row>
        <row r="35">
          <cell r="B35" t="str">
            <v>2012-593350</v>
          </cell>
          <cell r="C35" t="str">
            <v>001342011100000000</v>
          </cell>
          <cell r="D35" t="str">
            <v>DG 33 SUR 15 97 ESTE</v>
          </cell>
          <cell r="E35" t="str">
            <v>AAA0006SWYX</v>
          </cell>
          <cell r="F35">
            <v>6324</v>
          </cell>
          <cell r="G35">
            <v>58500</v>
          </cell>
          <cell r="H35">
            <v>0</v>
          </cell>
          <cell r="I35" t="str">
            <v>63</v>
          </cell>
          <cell r="J35" t="str">
            <v>-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369954000</v>
          </cell>
          <cell r="P35">
            <v>0</v>
          </cell>
          <cell r="Q35">
            <v>6324</v>
          </cell>
          <cell r="R35">
            <v>18000</v>
          </cell>
          <cell r="S35">
            <v>19800</v>
          </cell>
          <cell r="T35">
            <v>125215000</v>
          </cell>
          <cell r="U35" t="str">
            <v>6611130110001  001800</v>
          </cell>
          <cell r="V35">
            <v>6324</v>
          </cell>
          <cell r="W35">
            <v>18000</v>
          </cell>
          <cell r="X35" t="str">
            <v>001980</v>
          </cell>
          <cell r="Y35">
            <v>369954000</v>
          </cell>
          <cell r="Z35">
            <v>6324</v>
          </cell>
          <cell r="AA35">
            <v>58500</v>
          </cell>
        </row>
        <row r="36">
          <cell r="B36" t="str">
            <v>2012-593409</v>
          </cell>
          <cell r="C36" t="str">
            <v>001342773300000000</v>
          </cell>
          <cell r="D36" t="str">
            <v>CL 40S 16A 47E</v>
          </cell>
          <cell r="E36" t="str">
            <v>AAA0006UXNX</v>
          </cell>
          <cell r="F36">
            <v>36</v>
          </cell>
          <cell r="G36">
            <v>58500</v>
          </cell>
          <cell r="H36">
            <v>0</v>
          </cell>
          <cell r="I36" t="str">
            <v>61</v>
          </cell>
          <cell r="J36" t="str">
            <v>-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2106000</v>
          </cell>
          <cell r="P36">
            <v>0</v>
          </cell>
          <cell r="Q36">
            <v>36</v>
          </cell>
          <cell r="R36">
            <v>18000</v>
          </cell>
          <cell r="S36">
            <v>19800</v>
          </cell>
          <cell r="T36">
            <v>713000</v>
          </cell>
          <cell r="U36" t="str">
            <v>6611130110001  001800</v>
          </cell>
          <cell r="V36">
            <v>36</v>
          </cell>
          <cell r="W36">
            <v>18000</v>
          </cell>
          <cell r="X36" t="str">
            <v>001980</v>
          </cell>
          <cell r="Y36">
            <v>2106000</v>
          </cell>
          <cell r="Z36">
            <v>36</v>
          </cell>
          <cell r="AA36">
            <v>58500</v>
          </cell>
        </row>
        <row r="37">
          <cell r="B37" t="str">
            <v>2012-593438</v>
          </cell>
          <cell r="C37" t="str">
            <v>001342773200000000</v>
          </cell>
          <cell r="D37" t="str">
            <v>CL 40S 16A 43E</v>
          </cell>
          <cell r="E37" t="str">
            <v>AAA0006UXMR</v>
          </cell>
          <cell r="F37">
            <v>36</v>
          </cell>
          <cell r="G37">
            <v>58500</v>
          </cell>
          <cell r="H37">
            <v>0</v>
          </cell>
          <cell r="I37" t="str">
            <v>61</v>
          </cell>
          <cell r="J37" t="str">
            <v>-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2106000</v>
          </cell>
          <cell r="P37">
            <v>0</v>
          </cell>
          <cell r="Q37">
            <v>36</v>
          </cell>
          <cell r="R37">
            <v>18000</v>
          </cell>
          <cell r="S37">
            <v>19800</v>
          </cell>
          <cell r="T37">
            <v>713000</v>
          </cell>
          <cell r="U37" t="str">
            <v>6611130110001  001800</v>
          </cell>
          <cell r="V37">
            <v>36</v>
          </cell>
          <cell r="W37">
            <v>18000</v>
          </cell>
          <cell r="X37" t="str">
            <v>001980</v>
          </cell>
          <cell r="Y37">
            <v>2106000</v>
          </cell>
          <cell r="Z37">
            <v>36</v>
          </cell>
          <cell r="AA37">
            <v>58500</v>
          </cell>
        </row>
        <row r="38">
          <cell r="B38" t="str">
            <v>2012-593441</v>
          </cell>
          <cell r="C38" t="str">
            <v>001342011700000000</v>
          </cell>
          <cell r="D38" t="str">
            <v>DG 33 SUR 15 97 ESTE IN 1</v>
          </cell>
          <cell r="E38" t="str">
            <v>AAA0006SXEP</v>
          </cell>
          <cell r="F38">
            <v>6928.5</v>
          </cell>
          <cell r="G38">
            <v>58500</v>
          </cell>
          <cell r="H38">
            <v>0</v>
          </cell>
          <cell r="I38" t="str">
            <v>63</v>
          </cell>
          <cell r="J38" t="str">
            <v>-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405317000</v>
          </cell>
          <cell r="P38">
            <v>0</v>
          </cell>
          <cell r="Q38">
            <v>6928.5</v>
          </cell>
          <cell r="R38">
            <v>18000</v>
          </cell>
          <cell r="S38">
            <v>19800</v>
          </cell>
          <cell r="T38">
            <v>137184000</v>
          </cell>
          <cell r="U38" t="str">
            <v>6611130110001  001800</v>
          </cell>
          <cell r="V38">
            <v>6928.5</v>
          </cell>
          <cell r="W38">
            <v>18000</v>
          </cell>
          <cell r="X38" t="str">
            <v>001980</v>
          </cell>
          <cell r="Y38">
            <v>405317000</v>
          </cell>
          <cell r="Z38">
            <v>6928.5</v>
          </cell>
          <cell r="AA38">
            <v>58500</v>
          </cell>
        </row>
        <row r="39">
          <cell r="B39" t="str">
            <v>2012-593445</v>
          </cell>
          <cell r="C39" t="str">
            <v>001342773100000000</v>
          </cell>
          <cell r="D39" t="str">
            <v>CL 40S 16A 39E</v>
          </cell>
          <cell r="E39" t="str">
            <v>AAA0006UXLF</v>
          </cell>
          <cell r="F39">
            <v>36</v>
          </cell>
          <cell r="G39">
            <v>58500</v>
          </cell>
          <cell r="H39">
            <v>0</v>
          </cell>
          <cell r="I39" t="str">
            <v>61</v>
          </cell>
          <cell r="J39" t="str">
            <v>-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2106000</v>
          </cell>
          <cell r="P39">
            <v>0</v>
          </cell>
          <cell r="Q39">
            <v>36</v>
          </cell>
          <cell r="R39">
            <v>18000</v>
          </cell>
          <cell r="S39">
            <v>19800</v>
          </cell>
          <cell r="T39">
            <v>713000</v>
          </cell>
          <cell r="U39" t="str">
            <v>6611130110001  001800</v>
          </cell>
          <cell r="V39">
            <v>36</v>
          </cell>
          <cell r="W39">
            <v>18000</v>
          </cell>
          <cell r="X39" t="str">
            <v>001980</v>
          </cell>
          <cell r="Y39">
            <v>2106000</v>
          </cell>
          <cell r="Z39">
            <v>36</v>
          </cell>
          <cell r="AA39">
            <v>58500</v>
          </cell>
        </row>
        <row r="40">
          <cell r="B40" t="str">
            <v>2012-593498</v>
          </cell>
          <cell r="C40" t="str">
            <v>001342011800000000</v>
          </cell>
          <cell r="D40" t="str">
            <v>DG 33 SUR 15 03 ESTE IN 1</v>
          </cell>
          <cell r="E40" t="str">
            <v>AAA0006SXFZ</v>
          </cell>
          <cell r="F40">
            <v>13669</v>
          </cell>
          <cell r="G40">
            <v>58500</v>
          </cell>
          <cell r="H40">
            <v>0</v>
          </cell>
          <cell r="I40" t="str">
            <v>63</v>
          </cell>
          <cell r="J40" t="str">
            <v>-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799637000</v>
          </cell>
          <cell r="P40">
            <v>0</v>
          </cell>
          <cell r="Q40">
            <v>13669</v>
          </cell>
          <cell r="R40">
            <v>18000</v>
          </cell>
          <cell r="S40">
            <v>19800</v>
          </cell>
          <cell r="T40">
            <v>270646000</v>
          </cell>
          <cell r="U40" t="str">
            <v>6611130110001  001800</v>
          </cell>
          <cell r="V40">
            <v>13669</v>
          </cell>
          <cell r="W40">
            <v>18000</v>
          </cell>
          <cell r="X40" t="str">
            <v>001980</v>
          </cell>
          <cell r="Y40">
            <v>799637000</v>
          </cell>
          <cell r="Z40">
            <v>13669</v>
          </cell>
          <cell r="AA40">
            <v>58500</v>
          </cell>
        </row>
        <row r="41">
          <cell r="B41" t="str">
            <v>2012-593511</v>
          </cell>
          <cell r="C41" t="str">
            <v>001342590100000000</v>
          </cell>
          <cell r="D41" t="str">
            <v>KR 18E 40A 47S</v>
          </cell>
          <cell r="E41" t="str">
            <v>AAA0006TAEP</v>
          </cell>
          <cell r="F41">
            <v>40.5</v>
          </cell>
          <cell r="G41">
            <v>58500</v>
          </cell>
          <cell r="H41">
            <v>0</v>
          </cell>
          <cell r="I41" t="str">
            <v>61</v>
          </cell>
          <cell r="J41" t="str">
            <v>-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2369000</v>
          </cell>
          <cell r="P41">
            <v>0</v>
          </cell>
          <cell r="Q41">
            <v>40.5</v>
          </cell>
          <cell r="R41">
            <v>18000</v>
          </cell>
          <cell r="S41">
            <v>19800</v>
          </cell>
          <cell r="T41">
            <v>802000</v>
          </cell>
          <cell r="U41" t="str">
            <v>6611130110001  001800</v>
          </cell>
          <cell r="V41">
            <v>40.5</v>
          </cell>
          <cell r="W41">
            <v>18000</v>
          </cell>
          <cell r="X41" t="str">
            <v>001980</v>
          </cell>
          <cell r="Y41">
            <v>2369000</v>
          </cell>
          <cell r="Z41">
            <v>40.5</v>
          </cell>
          <cell r="AA41">
            <v>58500</v>
          </cell>
        </row>
        <row r="42">
          <cell r="B42" t="str">
            <v>2012-593560</v>
          </cell>
          <cell r="C42" t="str">
            <v>001342590200000000</v>
          </cell>
          <cell r="D42" t="str">
            <v>CL 40ABIS S 17A 94E</v>
          </cell>
          <cell r="E42" t="str">
            <v>AAA0006TAFZ</v>
          </cell>
          <cell r="F42">
            <v>36</v>
          </cell>
          <cell r="G42">
            <v>58500</v>
          </cell>
          <cell r="H42">
            <v>0</v>
          </cell>
          <cell r="I42" t="str">
            <v>61</v>
          </cell>
          <cell r="J42" t="str">
            <v>-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2106000</v>
          </cell>
          <cell r="P42">
            <v>0</v>
          </cell>
          <cell r="Q42">
            <v>36</v>
          </cell>
          <cell r="R42">
            <v>18000</v>
          </cell>
          <cell r="S42">
            <v>19800</v>
          </cell>
          <cell r="T42">
            <v>713000</v>
          </cell>
          <cell r="U42" t="str">
            <v>6611130110001  001800</v>
          </cell>
          <cell r="V42">
            <v>36</v>
          </cell>
          <cell r="W42">
            <v>18000</v>
          </cell>
          <cell r="X42" t="str">
            <v>001980</v>
          </cell>
          <cell r="Y42">
            <v>2106000</v>
          </cell>
          <cell r="Z42">
            <v>36</v>
          </cell>
          <cell r="AA42">
            <v>58500</v>
          </cell>
        </row>
        <row r="43">
          <cell r="B43" t="str">
            <v>2012-593579</v>
          </cell>
          <cell r="C43" t="str">
            <v>001342773000000000</v>
          </cell>
          <cell r="D43" t="str">
            <v>CL 40S 16A 35E</v>
          </cell>
          <cell r="E43" t="str">
            <v>AAA0006UXKC</v>
          </cell>
          <cell r="F43">
            <v>36</v>
          </cell>
          <cell r="G43">
            <v>58500</v>
          </cell>
          <cell r="H43">
            <v>0</v>
          </cell>
          <cell r="I43" t="str">
            <v>61</v>
          </cell>
          <cell r="J43" t="str">
            <v>-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2106000</v>
          </cell>
          <cell r="P43">
            <v>0</v>
          </cell>
          <cell r="Q43">
            <v>36</v>
          </cell>
          <cell r="R43">
            <v>18000</v>
          </cell>
          <cell r="S43">
            <v>19800</v>
          </cell>
          <cell r="T43">
            <v>713000</v>
          </cell>
          <cell r="U43" t="str">
            <v>6611130110001  001800</v>
          </cell>
          <cell r="V43">
            <v>36</v>
          </cell>
          <cell r="W43">
            <v>18000</v>
          </cell>
          <cell r="X43" t="str">
            <v>001980</v>
          </cell>
          <cell r="Y43">
            <v>2106000</v>
          </cell>
          <cell r="Z43">
            <v>36</v>
          </cell>
          <cell r="AA43">
            <v>58500</v>
          </cell>
        </row>
        <row r="44">
          <cell r="B44" t="str">
            <v>2012-593583</v>
          </cell>
          <cell r="C44" t="str">
            <v>001342772900000000</v>
          </cell>
          <cell r="D44" t="str">
            <v>CL 40S 16A 31E</v>
          </cell>
          <cell r="E44" t="str">
            <v>AAA0006UXJZ</v>
          </cell>
          <cell r="F44">
            <v>36</v>
          </cell>
          <cell r="G44">
            <v>58500</v>
          </cell>
          <cell r="H44">
            <v>0</v>
          </cell>
          <cell r="I44" t="str">
            <v>61</v>
          </cell>
          <cell r="J44" t="str">
            <v>-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2106000</v>
          </cell>
          <cell r="P44">
            <v>0</v>
          </cell>
          <cell r="Q44">
            <v>36</v>
          </cell>
          <cell r="R44">
            <v>18000</v>
          </cell>
          <cell r="S44">
            <v>19800</v>
          </cell>
          <cell r="T44">
            <v>713000</v>
          </cell>
          <cell r="U44" t="str">
            <v>6611130110001  001800</v>
          </cell>
          <cell r="V44">
            <v>36</v>
          </cell>
          <cell r="W44">
            <v>18000</v>
          </cell>
          <cell r="X44" t="str">
            <v>001980</v>
          </cell>
          <cell r="Y44">
            <v>2106000</v>
          </cell>
          <cell r="Z44">
            <v>36</v>
          </cell>
          <cell r="AA44">
            <v>58500</v>
          </cell>
        </row>
        <row r="45">
          <cell r="B45" t="str">
            <v>2012-593594</v>
          </cell>
          <cell r="C45" t="str">
            <v>001342590300000000</v>
          </cell>
          <cell r="D45" t="str">
            <v>CL 40ABIS S 17A 90E</v>
          </cell>
          <cell r="E45" t="str">
            <v>AAA0006TAHK</v>
          </cell>
          <cell r="F45">
            <v>36</v>
          </cell>
          <cell r="G45">
            <v>58500</v>
          </cell>
          <cell r="H45">
            <v>0</v>
          </cell>
          <cell r="I45" t="str">
            <v>61</v>
          </cell>
          <cell r="J45" t="str">
            <v>-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2106000</v>
          </cell>
          <cell r="P45">
            <v>0</v>
          </cell>
          <cell r="Q45">
            <v>36</v>
          </cell>
          <cell r="R45">
            <v>18000</v>
          </cell>
          <cell r="S45">
            <v>19800</v>
          </cell>
          <cell r="T45">
            <v>713000</v>
          </cell>
          <cell r="U45" t="str">
            <v>6611130110001  001800</v>
          </cell>
          <cell r="V45">
            <v>36</v>
          </cell>
          <cell r="W45">
            <v>18000</v>
          </cell>
          <cell r="X45" t="str">
            <v>001980</v>
          </cell>
          <cell r="Y45">
            <v>2106000</v>
          </cell>
          <cell r="Z45">
            <v>36</v>
          </cell>
          <cell r="AA45">
            <v>58500</v>
          </cell>
        </row>
        <row r="46">
          <cell r="B46" t="str">
            <v>2012-593644</v>
          </cell>
          <cell r="C46" t="str">
            <v>001342772800000000</v>
          </cell>
          <cell r="D46" t="str">
            <v>CL 40S 16A 27E</v>
          </cell>
          <cell r="E46" t="str">
            <v>AAA0006UXHK</v>
          </cell>
          <cell r="F46">
            <v>36</v>
          </cell>
          <cell r="G46">
            <v>58500</v>
          </cell>
          <cell r="H46">
            <v>0</v>
          </cell>
          <cell r="I46" t="str">
            <v>61</v>
          </cell>
          <cell r="J46" t="str">
            <v>-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2106000</v>
          </cell>
          <cell r="P46">
            <v>0</v>
          </cell>
          <cell r="Q46">
            <v>36</v>
          </cell>
          <cell r="R46">
            <v>18000</v>
          </cell>
          <cell r="S46">
            <v>19800</v>
          </cell>
          <cell r="T46">
            <v>713000</v>
          </cell>
          <cell r="U46" t="str">
            <v>6611130110001  001800</v>
          </cell>
          <cell r="V46">
            <v>36</v>
          </cell>
          <cell r="W46">
            <v>18000</v>
          </cell>
          <cell r="X46" t="str">
            <v>001980</v>
          </cell>
          <cell r="Y46">
            <v>2106000</v>
          </cell>
          <cell r="Z46">
            <v>36</v>
          </cell>
          <cell r="AA46">
            <v>58500</v>
          </cell>
        </row>
        <row r="47">
          <cell r="B47" t="str">
            <v>2012-593652</v>
          </cell>
          <cell r="C47" t="str">
            <v>001342772700000000</v>
          </cell>
          <cell r="D47" t="str">
            <v>KR 16A ESTE 40 06 SUR</v>
          </cell>
          <cell r="E47" t="str">
            <v>AAA0006UXFZ</v>
          </cell>
          <cell r="F47">
            <v>37.5</v>
          </cell>
          <cell r="G47">
            <v>58500</v>
          </cell>
          <cell r="H47">
            <v>0</v>
          </cell>
          <cell r="I47" t="str">
            <v>63</v>
          </cell>
          <cell r="J47" t="str">
            <v>-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2194000</v>
          </cell>
          <cell r="P47">
            <v>0</v>
          </cell>
          <cell r="Q47">
            <v>37.5</v>
          </cell>
          <cell r="R47">
            <v>16000</v>
          </cell>
          <cell r="S47">
            <v>17541</v>
          </cell>
          <cell r="T47">
            <v>658000</v>
          </cell>
          <cell r="U47" t="str">
            <v>5736530110003 001600</v>
          </cell>
          <cell r="V47">
            <v>37.5</v>
          </cell>
          <cell r="W47">
            <v>16000</v>
          </cell>
          <cell r="X47" t="str">
            <v>001759</v>
          </cell>
          <cell r="Y47">
            <v>2194000</v>
          </cell>
          <cell r="Z47">
            <v>37.5</v>
          </cell>
          <cell r="AA47">
            <v>58500</v>
          </cell>
        </row>
        <row r="48">
          <cell r="B48" t="str">
            <v>2012-593715</v>
          </cell>
          <cell r="C48" t="str">
            <v>001342772600000000</v>
          </cell>
          <cell r="D48" t="str">
            <v>KR 16A ESTE 40 12 SUR</v>
          </cell>
          <cell r="E48" t="str">
            <v>AAA0006UXEP</v>
          </cell>
          <cell r="F48">
            <v>40.5</v>
          </cell>
          <cell r="G48">
            <v>58500</v>
          </cell>
          <cell r="H48">
            <v>0</v>
          </cell>
          <cell r="I48" t="str">
            <v>63</v>
          </cell>
          <cell r="J48" t="str">
            <v>-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2369000</v>
          </cell>
          <cell r="P48">
            <v>0</v>
          </cell>
          <cell r="Q48">
            <v>40.5</v>
          </cell>
          <cell r="R48">
            <v>18000</v>
          </cell>
          <cell r="S48">
            <v>19800</v>
          </cell>
          <cell r="T48">
            <v>802000</v>
          </cell>
          <cell r="U48" t="str">
            <v>6611130110001  001800</v>
          </cell>
          <cell r="V48">
            <v>40.5</v>
          </cell>
          <cell r="W48">
            <v>18000</v>
          </cell>
          <cell r="X48" t="str">
            <v>001980</v>
          </cell>
          <cell r="Y48">
            <v>2369000</v>
          </cell>
          <cell r="Z48">
            <v>40.5</v>
          </cell>
          <cell r="AA48">
            <v>58500</v>
          </cell>
        </row>
        <row r="49">
          <cell r="B49" t="str">
            <v>2012-594573</v>
          </cell>
          <cell r="C49" t="str">
            <v>001342590600000000</v>
          </cell>
          <cell r="D49" t="str">
            <v>CL 40ABIS S 17A 78E</v>
          </cell>
          <cell r="E49" t="str">
            <v>AAA0006TALF</v>
          </cell>
          <cell r="F49">
            <v>36</v>
          </cell>
          <cell r="G49">
            <v>58500</v>
          </cell>
          <cell r="H49">
            <v>0</v>
          </cell>
          <cell r="I49" t="str">
            <v>61</v>
          </cell>
          <cell r="J49" t="str">
            <v>-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2106000</v>
          </cell>
          <cell r="P49">
            <v>0</v>
          </cell>
          <cell r="Q49">
            <v>36</v>
          </cell>
          <cell r="R49">
            <v>18000</v>
          </cell>
          <cell r="S49">
            <v>19800</v>
          </cell>
          <cell r="T49">
            <v>713000</v>
          </cell>
          <cell r="U49" t="str">
            <v>6611130110001  001800</v>
          </cell>
          <cell r="V49">
            <v>36</v>
          </cell>
          <cell r="W49">
            <v>18000</v>
          </cell>
          <cell r="X49" t="str">
            <v>001980</v>
          </cell>
          <cell r="Y49">
            <v>2106000</v>
          </cell>
          <cell r="Z49">
            <v>36</v>
          </cell>
          <cell r="AA49">
            <v>58500</v>
          </cell>
        </row>
        <row r="50">
          <cell r="B50" t="str">
            <v>2012-594598</v>
          </cell>
          <cell r="C50" t="str">
            <v>001342591100000000</v>
          </cell>
          <cell r="D50" t="str">
            <v>CL 40ABIS S 17A 58E</v>
          </cell>
          <cell r="E50" t="str">
            <v>AAA0006TARJ</v>
          </cell>
          <cell r="F50">
            <v>36</v>
          </cell>
          <cell r="G50">
            <v>58500</v>
          </cell>
          <cell r="H50">
            <v>0</v>
          </cell>
          <cell r="I50" t="str">
            <v>61</v>
          </cell>
          <cell r="J50" t="str">
            <v>-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2106000</v>
          </cell>
          <cell r="P50">
            <v>0</v>
          </cell>
          <cell r="Q50">
            <v>36</v>
          </cell>
          <cell r="R50">
            <v>18000</v>
          </cell>
          <cell r="S50">
            <v>19800</v>
          </cell>
          <cell r="T50">
            <v>713000</v>
          </cell>
          <cell r="U50" t="str">
            <v>6611130110001  001800</v>
          </cell>
          <cell r="V50">
            <v>36</v>
          </cell>
          <cell r="W50">
            <v>18000</v>
          </cell>
          <cell r="X50" t="str">
            <v>001980</v>
          </cell>
          <cell r="Y50">
            <v>2106000</v>
          </cell>
          <cell r="Z50">
            <v>36</v>
          </cell>
          <cell r="AA50">
            <v>58500</v>
          </cell>
        </row>
        <row r="51">
          <cell r="B51" t="str">
            <v>2012-594602</v>
          </cell>
          <cell r="C51" t="str">
            <v>001342591200000000</v>
          </cell>
          <cell r="D51" t="str">
            <v>CL 40ABIS S 17A 54E</v>
          </cell>
          <cell r="E51" t="str">
            <v>AAA0006TASY</v>
          </cell>
          <cell r="F51">
            <v>36</v>
          </cell>
          <cell r="G51">
            <v>58500</v>
          </cell>
          <cell r="H51">
            <v>0</v>
          </cell>
          <cell r="I51" t="str">
            <v>61</v>
          </cell>
          <cell r="J51" t="str">
            <v>-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2106000</v>
          </cell>
          <cell r="P51">
            <v>0</v>
          </cell>
          <cell r="Q51">
            <v>36</v>
          </cell>
          <cell r="R51">
            <v>18000</v>
          </cell>
          <cell r="S51">
            <v>19800</v>
          </cell>
          <cell r="T51">
            <v>713000</v>
          </cell>
          <cell r="U51" t="str">
            <v>6611130110001  001800</v>
          </cell>
          <cell r="V51">
            <v>36</v>
          </cell>
          <cell r="W51">
            <v>18000</v>
          </cell>
          <cell r="X51" t="str">
            <v>001980</v>
          </cell>
          <cell r="Y51">
            <v>2106000</v>
          </cell>
          <cell r="Z51">
            <v>36</v>
          </cell>
          <cell r="AA51">
            <v>58500</v>
          </cell>
        </row>
        <row r="52">
          <cell r="B52" t="str">
            <v>2012-594606</v>
          </cell>
          <cell r="C52" t="str">
            <v>001342591500000000</v>
          </cell>
          <cell r="D52" t="str">
            <v>CL 40ABIS S 17A 42E</v>
          </cell>
          <cell r="E52" t="str">
            <v>AAA0006TAWW</v>
          </cell>
          <cell r="F52">
            <v>36</v>
          </cell>
          <cell r="G52">
            <v>58500</v>
          </cell>
          <cell r="H52">
            <v>0</v>
          </cell>
          <cell r="I52" t="str">
            <v>61</v>
          </cell>
          <cell r="J52" t="str">
            <v>-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2106000</v>
          </cell>
          <cell r="P52">
            <v>0</v>
          </cell>
          <cell r="Q52">
            <v>36</v>
          </cell>
          <cell r="R52">
            <v>18000</v>
          </cell>
          <cell r="S52">
            <v>19800</v>
          </cell>
          <cell r="T52">
            <v>713000</v>
          </cell>
          <cell r="U52" t="str">
            <v>6611130110001  001800</v>
          </cell>
          <cell r="V52">
            <v>36</v>
          </cell>
          <cell r="W52">
            <v>18000</v>
          </cell>
          <cell r="X52" t="str">
            <v>001980</v>
          </cell>
          <cell r="Y52">
            <v>2106000</v>
          </cell>
          <cell r="Z52">
            <v>36</v>
          </cell>
          <cell r="AA52">
            <v>58500</v>
          </cell>
        </row>
        <row r="53">
          <cell r="B53" t="str">
            <v>2012-594636</v>
          </cell>
          <cell r="C53" t="str">
            <v>001342591700000000</v>
          </cell>
          <cell r="D53" t="str">
            <v>CL 40ABIS S 17A 34E</v>
          </cell>
          <cell r="E53" t="str">
            <v>AAA0006TAYN</v>
          </cell>
          <cell r="F53">
            <v>36</v>
          </cell>
          <cell r="G53">
            <v>58500</v>
          </cell>
          <cell r="H53">
            <v>0</v>
          </cell>
          <cell r="I53" t="str">
            <v>61</v>
          </cell>
          <cell r="J53" t="str">
            <v>-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2106000</v>
          </cell>
          <cell r="P53">
            <v>0</v>
          </cell>
          <cell r="Q53">
            <v>36</v>
          </cell>
          <cell r="R53">
            <v>18000</v>
          </cell>
          <cell r="S53">
            <v>19800</v>
          </cell>
          <cell r="T53">
            <v>713000</v>
          </cell>
          <cell r="U53" t="str">
            <v>6611130110001  001800</v>
          </cell>
          <cell r="V53">
            <v>36</v>
          </cell>
          <cell r="W53">
            <v>18000</v>
          </cell>
          <cell r="X53" t="str">
            <v>001980</v>
          </cell>
          <cell r="Y53">
            <v>2106000</v>
          </cell>
          <cell r="Z53">
            <v>36</v>
          </cell>
          <cell r="AA53">
            <v>58500</v>
          </cell>
        </row>
        <row r="54">
          <cell r="B54" t="str">
            <v>2012-594646</v>
          </cell>
          <cell r="C54" t="str">
            <v>001342593400000000</v>
          </cell>
          <cell r="D54" t="str">
            <v>CL 40AS 17A 05E</v>
          </cell>
          <cell r="E54" t="str">
            <v>AAA0006TBSK</v>
          </cell>
          <cell r="F54">
            <v>36</v>
          </cell>
          <cell r="G54">
            <v>58500</v>
          </cell>
          <cell r="H54">
            <v>0</v>
          </cell>
          <cell r="I54" t="str">
            <v>61</v>
          </cell>
          <cell r="J54" t="str">
            <v>-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2106000</v>
          </cell>
          <cell r="P54">
            <v>0</v>
          </cell>
          <cell r="Q54">
            <v>36</v>
          </cell>
          <cell r="R54">
            <v>18000</v>
          </cell>
          <cell r="S54">
            <v>19800</v>
          </cell>
          <cell r="T54">
            <v>713000</v>
          </cell>
          <cell r="U54" t="str">
            <v>6611130110001  001800</v>
          </cell>
          <cell r="V54">
            <v>36</v>
          </cell>
          <cell r="W54">
            <v>18000</v>
          </cell>
          <cell r="X54" t="str">
            <v>001980</v>
          </cell>
          <cell r="Y54">
            <v>2106000</v>
          </cell>
          <cell r="Z54">
            <v>36</v>
          </cell>
          <cell r="AA54">
            <v>58500</v>
          </cell>
        </row>
        <row r="55">
          <cell r="B55" t="str">
            <v>2012-594650</v>
          </cell>
          <cell r="C55" t="str">
            <v>001342593500000000</v>
          </cell>
          <cell r="D55" t="str">
            <v>CL 40AS 17A 07E</v>
          </cell>
          <cell r="E55" t="str">
            <v>AAA0006TBTO</v>
          </cell>
          <cell r="F55">
            <v>36</v>
          </cell>
          <cell r="G55">
            <v>58500</v>
          </cell>
          <cell r="H55">
            <v>0</v>
          </cell>
          <cell r="I55" t="str">
            <v>61</v>
          </cell>
          <cell r="J55" t="str">
            <v>-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2106000</v>
          </cell>
          <cell r="P55">
            <v>0</v>
          </cell>
          <cell r="Q55">
            <v>36</v>
          </cell>
          <cell r="R55">
            <v>18000</v>
          </cell>
          <cell r="S55">
            <v>19800</v>
          </cell>
          <cell r="T55">
            <v>713000</v>
          </cell>
          <cell r="U55" t="str">
            <v>6611130110001  001800</v>
          </cell>
          <cell r="V55">
            <v>36</v>
          </cell>
          <cell r="W55">
            <v>18000</v>
          </cell>
          <cell r="X55" t="str">
            <v>001980</v>
          </cell>
          <cell r="Y55">
            <v>2106000</v>
          </cell>
          <cell r="Z55">
            <v>36</v>
          </cell>
          <cell r="AA55">
            <v>58500</v>
          </cell>
        </row>
        <row r="56">
          <cell r="B56" t="str">
            <v>2012-594678</v>
          </cell>
          <cell r="C56" t="str">
            <v>001342593600000000</v>
          </cell>
          <cell r="D56" t="str">
            <v>CL 40AS 17A 11E</v>
          </cell>
          <cell r="E56" t="str">
            <v>AAA0006TBUZ</v>
          </cell>
          <cell r="F56">
            <v>36</v>
          </cell>
          <cell r="G56">
            <v>58500</v>
          </cell>
          <cell r="H56">
            <v>0</v>
          </cell>
          <cell r="I56" t="str">
            <v>61</v>
          </cell>
          <cell r="J56" t="str">
            <v>-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2106000</v>
          </cell>
          <cell r="P56">
            <v>0</v>
          </cell>
          <cell r="Q56">
            <v>36</v>
          </cell>
          <cell r="R56">
            <v>18000</v>
          </cell>
          <cell r="S56">
            <v>19800</v>
          </cell>
          <cell r="T56">
            <v>713000</v>
          </cell>
          <cell r="U56" t="str">
            <v>6611130110001  001800</v>
          </cell>
          <cell r="V56">
            <v>36</v>
          </cell>
          <cell r="W56">
            <v>18000</v>
          </cell>
          <cell r="X56" t="str">
            <v>001980</v>
          </cell>
          <cell r="Y56">
            <v>2106000</v>
          </cell>
          <cell r="Z56">
            <v>36</v>
          </cell>
          <cell r="AA56">
            <v>58500</v>
          </cell>
        </row>
        <row r="57">
          <cell r="B57" t="str">
            <v>2012-594686</v>
          </cell>
          <cell r="C57" t="str">
            <v>001342593700000000</v>
          </cell>
          <cell r="D57" t="str">
            <v>CL 40AS 17A 15E</v>
          </cell>
          <cell r="E57" t="str">
            <v>AAA0006TBWF</v>
          </cell>
          <cell r="F57">
            <v>36</v>
          </cell>
          <cell r="G57">
            <v>58500</v>
          </cell>
          <cell r="H57">
            <v>0</v>
          </cell>
          <cell r="I57" t="str">
            <v>61</v>
          </cell>
          <cell r="J57" t="str">
            <v>-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2106000</v>
          </cell>
          <cell r="P57">
            <v>0</v>
          </cell>
          <cell r="Q57">
            <v>36</v>
          </cell>
          <cell r="R57">
            <v>18000</v>
          </cell>
          <cell r="S57">
            <v>19800</v>
          </cell>
          <cell r="T57">
            <v>713000</v>
          </cell>
          <cell r="U57" t="str">
            <v>6611130110001  001800</v>
          </cell>
          <cell r="V57">
            <v>36</v>
          </cell>
          <cell r="W57">
            <v>18000</v>
          </cell>
          <cell r="X57" t="str">
            <v>001980</v>
          </cell>
          <cell r="Y57">
            <v>2106000</v>
          </cell>
          <cell r="Z57">
            <v>36</v>
          </cell>
          <cell r="AA57">
            <v>58500</v>
          </cell>
        </row>
        <row r="58">
          <cell r="B58" t="str">
            <v>2012-595076</v>
          </cell>
          <cell r="C58" t="str">
            <v>001342593800000000</v>
          </cell>
          <cell r="D58" t="str">
            <v>CL 40AS 17A 19E</v>
          </cell>
          <cell r="E58" t="str">
            <v>AAA0006TBXR</v>
          </cell>
          <cell r="F58">
            <v>36</v>
          </cell>
          <cell r="G58">
            <v>58500</v>
          </cell>
          <cell r="H58">
            <v>0</v>
          </cell>
          <cell r="I58" t="str">
            <v>61</v>
          </cell>
          <cell r="J58" t="str">
            <v>-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2106000</v>
          </cell>
          <cell r="P58">
            <v>0</v>
          </cell>
          <cell r="Q58">
            <v>36</v>
          </cell>
          <cell r="R58">
            <v>18000</v>
          </cell>
          <cell r="S58">
            <v>19800</v>
          </cell>
          <cell r="T58">
            <v>713000</v>
          </cell>
          <cell r="U58" t="str">
            <v>6611130110001  001800</v>
          </cell>
          <cell r="V58">
            <v>36</v>
          </cell>
          <cell r="W58">
            <v>18000</v>
          </cell>
          <cell r="X58" t="str">
            <v>001980</v>
          </cell>
          <cell r="Y58">
            <v>2106000</v>
          </cell>
          <cell r="Z58">
            <v>36</v>
          </cell>
          <cell r="AA58">
            <v>58500</v>
          </cell>
        </row>
        <row r="59">
          <cell r="B59" t="str">
            <v>2012-595152</v>
          </cell>
          <cell r="C59" t="str">
            <v>001342594000000000</v>
          </cell>
          <cell r="D59" t="str">
            <v>CL 40AS 17A 27E</v>
          </cell>
          <cell r="E59" t="str">
            <v>AAA0006TBZM</v>
          </cell>
          <cell r="F59">
            <v>36</v>
          </cell>
          <cell r="G59">
            <v>58500</v>
          </cell>
          <cell r="H59">
            <v>0</v>
          </cell>
          <cell r="I59" t="str">
            <v>61</v>
          </cell>
          <cell r="J59" t="str">
            <v>-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2106000</v>
          </cell>
          <cell r="P59">
            <v>0</v>
          </cell>
          <cell r="Q59">
            <v>36</v>
          </cell>
          <cell r="R59">
            <v>18000</v>
          </cell>
          <cell r="S59">
            <v>19800</v>
          </cell>
          <cell r="T59">
            <v>713000</v>
          </cell>
          <cell r="U59" t="str">
            <v>6611130110001  001800</v>
          </cell>
          <cell r="V59">
            <v>36</v>
          </cell>
          <cell r="W59">
            <v>18000</v>
          </cell>
          <cell r="X59" t="str">
            <v>001980</v>
          </cell>
          <cell r="Y59">
            <v>2106000</v>
          </cell>
          <cell r="Z59">
            <v>36</v>
          </cell>
          <cell r="AA59">
            <v>58500</v>
          </cell>
        </row>
        <row r="60">
          <cell r="B60" t="str">
            <v>2012-595237</v>
          </cell>
          <cell r="C60" t="str">
            <v>001342594100000000</v>
          </cell>
          <cell r="D60" t="str">
            <v>CL 40AS 17A 31E</v>
          </cell>
          <cell r="E60" t="str">
            <v>AAA0006TCAW</v>
          </cell>
          <cell r="F60">
            <v>36</v>
          </cell>
          <cell r="G60">
            <v>58500</v>
          </cell>
          <cell r="H60">
            <v>0</v>
          </cell>
          <cell r="I60" t="str">
            <v>61</v>
          </cell>
          <cell r="J60" t="str">
            <v>-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2106000</v>
          </cell>
          <cell r="P60">
            <v>0</v>
          </cell>
          <cell r="Q60">
            <v>36</v>
          </cell>
          <cell r="R60">
            <v>18000</v>
          </cell>
          <cell r="S60">
            <v>19800</v>
          </cell>
          <cell r="T60">
            <v>713000</v>
          </cell>
          <cell r="U60" t="str">
            <v>6611130110001  001800</v>
          </cell>
          <cell r="V60">
            <v>36</v>
          </cell>
          <cell r="W60">
            <v>18000</v>
          </cell>
          <cell r="X60" t="str">
            <v>001980</v>
          </cell>
          <cell r="Y60">
            <v>2106000</v>
          </cell>
          <cell r="Z60">
            <v>36</v>
          </cell>
          <cell r="AA60">
            <v>58500</v>
          </cell>
        </row>
        <row r="61">
          <cell r="B61" t="str">
            <v>2012-595241</v>
          </cell>
          <cell r="C61" t="str">
            <v>001342594200000000</v>
          </cell>
          <cell r="D61" t="str">
            <v>CL 40AS 17A 35E</v>
          </cell>
          <cell r="E61" t="str">
            <v>AAA0006TCBS</v>
          </cell>
          <cell r="F61">
            <v>36</v>
          </cell>
          <cell r="G61">
            <v>58500</v>
          </cell>
          <cell r="H61">
            <v>0</v>
          </cell>
          <cell r="I61" t="str">
            <v>61</v>
          </cell>
          <cell r="J61" t="str">
            <v>-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2106000</v>
          </cell>
          <cell r="P61">
            <v>0</v>
          </cell>
          <cell r="Q61">
            <v>36</v>
          </cell>
          <cell r="R61">
            <v>18000</v>
          </cell>
          <cell r="S61">
            <v>19800</v>
          </cell>
          <cell r="T61">
            <v>713000</v>
          </cell>
          <cell r="U61" t="str">
            <v>6611130110001  001800</v>
          </cell>
          <cell r="V61">
            <v>36</v>
          </cell>
          <cell r="W61">
            <v>18000</v>
          </cell>
          <cell r="X61" t="str">
            <v>001980</v>
          </cell>
          <cell r="Y61">
            <v>2106000</v>
          </cell>
          <cell r="Z61">
            <v>36</v>
          </cell>
          <cell r="AA61">
            <v>58500</v>
          </cell>
        </row>
        <row r="62">
          <cell r="B62" t="str">
            <v>2012-595242</v>
          </cell>
          <cell r="C62" t="str">
            <v>001342594400000000</v>
          </cell>
          <cell r="D62" t="str">
            <v>CL 40AS 17A 43E</v>
          </cell>
          <cell r="E62" t="str">
            <v>AAA0006TCDE</v>
          </cell>
          <cell r="F62">
            <v>36</v>
          </cell>
          <cell r="G62">
            <v>58500</v>
          </cell>
          <cell r="H62">
            <v>0</v>
          </cell>
          <cell r="I62" t="str">
            <v>61</v>
          </cell>
          <cell r="J62" t="str">
            <v>-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2106000</v>
          </cell>
          <cell r="P62">
            <v>0</v>
          </cell>
          <cell r="Q62">
            <v>36</v>
          </cell>
          <cell r="R62">
            <v>18000</v>
          </cell>
          <cell r="S62">
            <v>19800</v>
          </cell>
          <cell r="T62">
            <v>713000</v>
          </cell>
          <cell r="U62" t="str">
            <v>6611130110001  001800</v>
          </cell>
          <cell r="V62">
            <v>36</v>
          </cell>
          <cell r="W62">
            <v>18000</v>
          </cell>
          <cell r="X62" t="str">
            <v>001980</v>
          </cell>
          <cell r="Y62">
            <v>2106000</v>
          </cell>
          <cell r="Z62">
            <v>36</v>
          </cell>
          <cell r="AA62">
            <v>58500</v>
          </cell>
        </row>
        <row r="63">
          <cell r="B63" t="str">
            <v>2012-595575</v>
          </cell>
          <cell r="C63" t="str">
            <v>001342594500000000</v>
          </cell>
          <cell r="D63" t="str">
            <v>CL 40AS 17A 47E</v>
          </cell>
          <cell r="E63" t="str">
            <v>AAA0006TCEP</v>
          </cell>
          <cell r="F63">
            <v>36</v>
          </cell>
          <cell r="G63">
            <v>58500</v>
          </cell>
          <cell r="H63">
            <v>0</v>
          </cell>
          <cell r="I63" t="str">
            <v>61</v>
          </cell>
          <cell r="J63" t="str">
            <v>-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2106000</v>
          </cell>
          <cell r="P63">
            <v>0</v>
          </cell>
          <cell r="Q63">
            <v>36</v>
          </cell>
          <cell r="R63">
            <v>18000</v>
          </cell>
          <cell r="S63">
            <v>19800</v>
          </cell>
          <cell r="T63">
            <v>713000</v>
          </cell>
          <cell r="U63" t="str">
            <v>6611130110001  001800</v>
          </cell>
          <cell r="V63">
            <v>36</v>
          </cell>
          <cell r="W63">
            <v>18000</v>
          </cell>
          <cell r="X63" t="str">
            <v>001980</v>
          </cell>
          <cell r="Y63">
            <v>2106000</v>
          </cell>
          <cell r="Z63">
            <v>36</v>
          </cell>
          <cell r="AA63">
            <v>58500</v>
          </cell>
        </row>
        <row r="64">
          <cell r="B64" t="str">
            <v>2012-595645</v>
          </cell>
          <cell r="C64" t="str">
            <v>001342594800000000</v>
          </cell>
          <cell r="D64" t="str">
            <v>CL 40AS 17A 59E</v>
          </cell>
          <cell r="E64" t="str">
            <v>AAA0006TCJZ</v>
          </cell>
          <cell r="F64">
            <v>36</v>
          </cell>
          <cell r="G64">
            <v>58500</v>
          </cell>
          <cell r="H64">
            <v>0</v>
          </cell>
          <cell r="I64" t="str">
            <v>61</v>
          </cell>
          <cell r="J64" t="str">
            <v>-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2106000</v>
          </cell>
          <cell r="P64">
            <v>0</v>
          </cell>
          <cell r="Q64">
            <v>36</v>
          </cell>
          <cell r="R64">
            <v>18000</v>
          </cell>
          <cell r="S64">
            <v>19800</v>
          </cell>
          <cell r="T64">
            <v>713000</v>
          </cell>
          <cell r="U64" t="str">
            <v>6611130110001  001800</v>
          </cell>
          <cell r="V64">
            <v>36</v>
          </cell>
          <cell r="W64">
            <v>18000</v>
          </cell>
          <cell r="X64" t="str">
            <v>001980</v>
          </cell>
          <cell r="Y64">
            <v>2106000</v>
          </cell>
          <cell r="Z64">
            <v>36</v>
          </cell>
          <cell r="AA64">
            <v>58500</v>
          </cell>
        </row>
        <row r="65">
          <cell r="B65" t="str">
            <v>2012-595707</v>
          </cell>
          <cell r="C65" t="str">
            <v>001342595000000000</v>
          </cell>
          <cell r="D65" t="str">
            <v>CL 40 A SUR 17 A 67 ESTE</v>
          </cell>
          <cell r="E65" t="str">
            <v>AAA0006TCLF</v>
          </cell>
          <cell r="F65">
            <v>36</v>
          </cell>
          <cell r="G65">
            <v>58500</v>
          </cell>
          <cell r="H65">
            <v>0</v>
          </cell>
          <cell r="I65" t="str">
            <v>61</v>
          </cell>
          <cell r="J65" t="str">
            <v>-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2106000</v>
          </cell>
          <cell r="P65">
            <v>0</v>
          </cell>
          <cell r="Q65">
            <v>36</v>
          </cell>
          <cell r="R65">
            <v>18000</v>
          </cell>
          <cell r="S65">
            <v>19800</v>
          </cell>
          <cell r="T65">
            <v>713000</v>
          </cell>
          <cell r="U65" t="str">
            <v>6611130110001  001800</v>
          </cell>
          <cell r="V65">
            <v>36</v>
          </cell>
          <cell r="W65">
            <v>18000</v>
          </cell>
          <cell r="X65" t="str">
            <v>001980</v>
          </cell>
          <cell r="Y65">
            <v>2106000</v>
          </cell>
          <cell r="Z65">
            <v>36</v>
          </cell>
          <cell r="AA65">
            <v>58500</v>
          </cell>
        </row>
        <row r="66">
          <cell r="B66" t="str">
            <v>2012-595708</v>
          </cell>
          <cell r="C66" t="str">
            <v>001342595100000000</v>
          </cell>
          <cell r="D66" t="str">
            <v>CL 40AS 17A 71E</v>
          </cell>
          <cell r="E66" t="str">
            <v>AAA0006TCMR</v>
          </cell>
          <cell r="F66">
            <v>36</v>
          </cell>
          <cell r="G66">
            <v>58500</v>
          </cell>
          <cell r="H66">
            <v>0</v>
          </cell>
          <cell r="I66" t="str">
            <v>61</v>
          </cell>
          <cell r="J66" t="str">
            <v>-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2106000</v>
          </cell>
          <cell r="P66">
            <v>0</v>
          </cell>
          <cell r="Q66">
            <v>36</v>
          </cell>
          <cell r="R66">
            <v>18000</v>
          </cell>
          <cell r="S66">
            <v>19800</v>
          </cell>
          <cell r="T66">
            <v>713000</v>
          </cell>
          <cell r="U66" t="str">
            <v>6611130110001  001800</v>
          </cell>
          <cell r="V66">
            <v>36</v>
          </cell>
          <cell r="W66">
            <v>18000</v>
          </cell>
          <cell r="X66" t="str">
            <v>001980</v>
          </cell>
          <cell r="Y66">
            <v>2106000</v>
          </cell>
          <cell r="Z66">
            <v>36</v>
          </cell>
          <cell r="AA66">
            <v>58500</v>
          </cell>
        </row>
        <row r="67">
          <cell r="B67" t="str">
            <v>2012-595712</v>
          </cell>
          <cell r="C67" t="str">
            <v>001342595200000000</v>
          </cell>
          <cell r="D67" t="str">
            <v>CL 40AS 17A 75E</v>
          </cell>
          <cell r="E67" t="str">
            <v>AAA0006TCNX</v>
          </cell>
          <cell r="F67">
            <v>36</v>
          </cell>
          <cell r="G67">
            <v>58500</v>
          </cell>
          <cell r="H67">
            <v>0</v>
          </cell>
          <cell r="I67" t="str">
            <v>61</v>
          </cell>
          <cell r="J67" t="str">
            <v>-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2106000</v>
          </cell>
          <cell r="P67">
            <v>0</v>
          </cell>
          <cell r="Q67">
            <v>36</v>
          </cell>
          <cell r="R67">
            <v>18000</v>
          </cell>
          <cell r="S67">
            <v>19800</v>
          </cell>
          <cell r="T67">
            <v>713000</v>
          </cell>
          <cell r="U67" t="str">
            <v>6611130110001  001800</v>
          </cell>
          <cell r="V67">
            <v>36</v>
          </cell>
          <cell r="W67">
            <v>18000</v>
          </cell>
          <cell r="X67" t="str">
            <v>001980</v>
          </cell>
          <cell r="Y67">
            <v>2106000</v>
          </cell>
          <cell r="Z67">
            <v>36</v>
          </cell>
          <cell r="AA67">
            <v>58500</v>
          </cell>
        </row>
        <row r="68">
          <cell r="B68" t="str">
            <v>2012-595819</v>
          </cell>
          <cell r="C68" t="str">
            <v>001342595300000000</v>
          </cell>
          <cell r="D68" t="str">
            <v>CL 40AS 17A 79E</v>
          </cell>
          <cell r="E68" t="str">
            <v>AAA0006TCOM</v>
          </cell>
          <cell r="F68">
            <v>36</v>
          </cell>
          <cell r="G68">
            <v>58500</v>
          </cell>
          <cell r="H68">
            <v>0</v>
          </cell>
          <cell r="I68" t="str">
            <v>61</v>
          </cell>
          <cell r="J68" t="str">
            <v>-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2106000</v>
          </cell>
          <cell r="P68">
            <v>0</v>
          </cell>
          <cell r="Q68">
            <v>36</v>
          </cell>
          <cell r="R68">
            <v>18000</v>
          </cell>
          <cell r="S68">
            <v>19800</v>
          </cell>
          <cell r="T68">
            <v>713000</v>
          </cell>
          <cell r="U68" t="str">
            <v>6611130110001  001800</v>
          </cell>
          <cell r="V68">
            <v>36</v>
          </cell>
          <cell r="W68">
            <v>18000</v>
          </cell>
          <cell r="X68" t="str">
            <v>001980</v>
          </cell>
          <cell r="Y68">
            <v>2106000</v>
          </cell>
          <cell r="Z68">
            <v>36</v>
          </cell>
          <cell r="AA68">
            <v>58500</v>
          </cell>
        </row>
        <row r="69">
          <cell r="B69" t="str">
            <v>2012-595826</v>
          </cell>
          <cell r="C69" t="str">
            <v>001342595400000000</v>
          </cell>
          <cell r="D69" t="str">
            <v>CL 40AS 17A 83E</v>
          </cell>
          <cell r="E69" t="str">
            <v>AAA0006TCPA</v>
          </cell>
          <cell r="F69">
            <v>36</v>
          </cell>
          <cell r="G69">
            <v>58500</v>
          </cell>
          <cell r="H69">
            <v>0</v>
          </cell>
          <cell r="I69" t="str">
            <v>61</v>
          </cell>
          <cell r="J69" t="str">
            <v>-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2106000</v>
          </cell>
          <cell r="P69">
            <v>0</v>
          </cell>
          <cell r="Q69">
            <v>36</v>
          </cell>
          <cell r="R69">
            <v>18000</v>
          </cell>
          <cell r="S69">
            <v>19800</v>
          </cell>
          <cell r="T69">
            <v>713000</v>
          </cell>
          <cell r="U69" t="str">
            <v>6611130110001  001800</v>
          </cell>
          <cell r="V69">
            <v>36</v>
          </cell>
          <cell r="W69">
            <v>18000</v>
          </cell>
          <cell r="X69" t="str">
            <v>001980</v>
          </cell>
          <cell r="Y69">
            <v>2106000</v>
          </cell>
          <cell r="Z69">
            <v>36</v>
          </cell>
          <cell r="AA69">
            <v>58500</v>
          </cell>
        </row>
        <row r="70">
          <cell r="B70" t="str">
            <v>2012-595919</v>
          </cell>
          <cell r="C70" t="str">
            <v>001342740300000000</v>
          </cell>
          <cell r="D70" t="str">
            <v>CL 40AS 16A 86E</v>
          </cell>
          <cell r="E70" t="str">
            <v>AAA0006UMJH</v>
          </cell>
          <cell r="F70">
            <v>36</v>
          </cell>
          <cell r="G70">
            <v>58500</v>
          </cell>
          <cell r="H70">
            <v>0</v>
          </cell>
          <cell r="I70" t="str">
            <v>61</v>
          </cell>
          <cell r="J70" t="str">
            <v>-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2106000</v>
          </cell>
          <cell r="P70">
            <v>0</v>
          </cell>
          <cell r="Q70">
            <v>36</v>
          </cell>
          <cell r="R70">
            <v>18000</v>
          </cell>
          <cell r="S70">
            <v>19800</v>
          </cell>
          <cell r="T70">
            <v>713000</v>
          </cell>
          <cell r="U70" t="str">
            <v>6611130110001  001800</v>
          </cell>
          <cell r="V70">
            <v>36</v>
          </cell>
          <cell r="W70">
            <v>18000</v>
          </cell>
          <cell r="X70" t="str">
            <v>001980</v>
          </cell>
          <cell r="Y70">
            <v>2106000</v>
          </cell>
          <cell r="Z70">
            <v>36</v>
          </cell>
          <cell r="AA70">
            <v>58500</v>
          </cell>
        </row>
        <row r="71">
          <cell r="B71" t="str">
            <v>2012-595925</v>
          </cell>
          <cell r="C71" t="str">
            <v>001342740400000000</v>
          </cell>
          <cell r="D71" t="str">
            <v>CL 40AS 16A 82E</v>
          </cell>
          <cell r="E71" t="str">
            <v>AAA0006UMKL</v>
          </cell>
          <cell r="F71">
            <v>36</v>
          </cell>
          <cell r="G71">
            <v>58500</v>
          </cell>
          <cell r="H71">
            <v>0</v>
          </cell>
          <cell r="I71" t="str">
            <v>61</v>
          </cell>
          <cell r="J71" t="str">
            <v>-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2106000</v>
          </cell>
          <cell r="P71">
            <v>0</v>
          </cell>
          <cell r="Q71">
            <v>36</v>
          </cell>
          <cell r="R71">
            <v>18000</v>
          </cell>
          <cell r="S71">
            <v>19800</v>
          </cell>
          <cell r="T71">
            <v>713000</v>
          </cell>
          <cell r="U71" t="str">
            <v>6611130110001  001800</v>
          </cell>
          <cell r="V71">
            <v>36</v>
          </cell>
          <cell r="W71">
            <v>18000</v>
          </cell>
          <cell r="X71" t="str">
            <v>001980</v>
          </cell>
          <cell r="Y71">
            <v>2106000</v>
          </cell>
          <cell r="Z71">
            <v>36</v>
          </cell>
          <cell r="AA71">
            <v>58500</v>
          </cell>
        </row>
        <row r="72">
          <cell r="B72" t="str">
            <v>2012-595929</v>
          </cell>
          <cell r="C72" t="str">
            <v>001342740500000000</v>
          </cell>
          <cell r="D72" t="str">
            <v>CL 40AS 16A 78E</v>
          </cell>
          <cell r="E72" t="str">
            <v>AAA0006UMLW</v>
          </cell>
          <cell r="F72">
            <v>36</v>
          </cell>
          <cell r="G72">
            <v>58500</v>
          </cell>
          <cell r="H72">
            <v>0</v>
          </cell>
          <cell r="I72" t="str">
            <v>61</v>
          </cell>
          <cell r="J72" t="str">
            <v>-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2106000</v>
          </cell>
          <cell r="P72">
            <v>0</v>
          </cell>
          <cell r="Q72">
            <v>36</v>
          </cell>
          <cell r="R72">
            <v>18000</v>
          </cell>
          <cell r="S72">
            <v>19800</v>
          </cell>
          <cell r="T72">
            <v>713000</v>
          </cell>
          <cell r="U72" t="str">
            <v>6611130110001  001800</v>
          </cell>
          <cell r="V72">
            <v>36</v>
          </cell>
          <cell r="W72">
            <v>18000</v>
          </cell>
          <cell r="X72" t="str">
            <v>001980</v>
          </cell>
          <cell r="Y72">
            <v>2106000</v>
          </cell>
          <cell r="Z72">
            <v>36</v>
          </cell>
          <cell r="AA72">
            <v>58500</v>
          </cell>
        </row>
        <row r="73">
          <cell r="B73" t="str">
            <v>2012-595933</v>
          </cell>
          <cell r="C73" t="str">
            <v>001342740600000000</v>
          </cell>
          <cell r="D73" t="str">
            <v>CL 40AS 16A 74E</v>
          </cell>
          <cell r="E73" t="str">
            <v>AAA0006UMMS</v>
          </cell>
          <cell r="F73">
            <v>36</v>
          </cell>
          <cell r="G73">
            <v>58500</v>
          </cell>
          <cell r="H73">
            <v>0</v>
          </cell>
          <cell r="I73" t="str">
            <v>61</v>
          </cell>
          <cell r="J73" t="str">
            <v>-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2106000</v>
          </cell>
          <cell r="P73">
            <v>0</v>
          </cell>
          <cell r="Q73">
            <v>36</v>
          </cell>
          <cell r="R73">
            <v>18000</v>
          </cell>
          <cell r="S73">
            <v>19800</v>
          </cell>
          <cell r="T73">
            <v>713000</v>
          </cell>
          <cell r="U73" t="str">
            <v>6611130110001  001800</v>
          </cell>
          <cell r="V73">
            <v>36</v>
          </cell>
          <cell r="W73">
            <v>18000</v>
          </cell>
          <cell r="X73" t="str">
            <v>001980</v>
          </cell>
          <cell r="Y73">
            <v>2106000</v>
          </cell>
          <cell r="Z73">
            <v>36</v>
          </cell>
          <cell r="AA73">
            <v>58500</v>
          </cell>
        </row>
        <row r="74">
          <cell r="B74" t="str">
            <v>2012-595935</v>
          </cell>
          <cell r="C74" t="str">
            <v>001342740700000000</v>
          </cell>
          <cell r="D74" t="str">
            <v>CL 40AS 16A 70E</v>
          </cell>
          <cell r="E74" t="str">
            <v>AAA0006UMNN</v>
          </cell>
          <cell r="F74">
            <v>36</v>
          </cell>
          <cell r="G74">
            <v>58500</v>
          </cell>
          <cell r="H74">
            <v>0</v>
          </cell>
          <cell r="I74" t="str">
            <v>61</v>
          </cell>
          <cell r="J74" t="str">
            <v>-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2106000</v>
          </cell>
          <cell r="P74">
            <v>0</v>
          </cell>
          <cell r="Q74">
            <v>36</v>
          </cell>
          <cell r="R74">
            <v>18000</v>
          </cell>
          <cell r="S74">
            <v>19800</v>
          </cell>
          <cell r="T74">
            <v>713000</v>
          </cell>
          <cell r="U74" t="str">
            <v>6611130110001  001800</v>
          </cell>
          <cell r="V74">
            <v>36</v>
          </cell>
          <cell r="W74">
            <v>18000</v>
          </cell>
          <cell r="X74" t="str">
            <v>001980</v>
          </cell>
          <cell r="Y74">
            <v>2106000</v>
          </cell>
          <cell r="Z74">
            <v>36</v>
          </cell>
          <cell r="AA74">
            <v>58500</v>
          </cell>
        </row>
        <row r="75">
          <cell r="B75" t="str">
            <v>2012-595993</v>
          </cell>
          <cell r="C75" t="str">
            <v>001342595500000000</v>
          </cell>
          <cell r="D75" t="str">
            <v>CL 40AS 17A 87E</v>
          </cell>
          <cell r="E75" t="str">
            <v>AAA0006TCRJ</v>
          </cell>
          <cell r="F75">
            <v>36</v>
          </cell>
          <cell r="G75">
            <v>58500</v>
          </cell>
          <cell r="H75">
            <v>0</v>
          </cell>
          <cell r="I75" t="str">
            <v>61</v>
          </cell>
          <cell r="J75" t="str">
            <v>-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2106000</v>
          </cell>
          <cell r="P75">
            <v>0</v>
          </cell>
          <cell r="Q75">
            <v>36</v>
          </cell>
          <cell r="R75">
            <v>18000</v>
          </cell>
          <cell r="S75">
            <v>19800</v>
          </cell>
          <cell r="T75">
            <v>713000</v>
          </cell>
          <cell r="U75" t="str">
            <v>6611130110001  001800</v>
          </cell>
          <cell r="V75">
            <v>36</v>
          </cell>
          <cell r="W75">
            <v>18000</v>
          </cell>
          <cell r="X75" t="str">
            <v>001980</v>
          </cell>
          <cell r="Y75">
            <v>2106000</v>
          </cell>
          <cell r="Z75">
            <v>36</v>
          </cell>
          <cell r="AA75">
            <v>58500</v>
          </cell>
        </row>
        <row r="76">
          <cell r="B76" t="str">
            <v>2012-596056</v>
          </cell>
          <cell r="C76" t="str">
            <v>001342595600000000</v>
          </cell>
          <cell r="D76" t="str">
            <v>CL 40AS 17A 91E</v>
          </cell>
          <cell r="E76" t="str">
            <v>AAA0006TCSY</v>
          </cell>
          <cell r="F76">
            <v>36</v>
          </cell>
          <cell r="G76">
            <v>58500</v>
          </cell>
          <cell r="H76">
            <v>0</v>
          </cell>
          <cell r="I76" t="str">
            <v>61</v>
          </cell>
          <cell r="J76" t="str">
            <v>-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2106000</v>
          </cell>
          <cell r="P76">
            <v>0</v>
          </cell>
          <cell r="Q76">
            <v>36</v>
          </cell>
          <cell r="R76">
            <v>18000</v>
          </cell>
          <cell r="S76">
            <v>19800</v>
          </cell>
          <cell r="T76">
            <v>713000</v>
          </cell>
          <cell r="U76" t="str">
            <v>6611130110001  001800</v>
          </cell>
          <cell r="V76">
            <v>36</v>
          </cell>
          <cell r="W76">
            <v>18000</v>
          </cell>
          <cell r="X76" t="str">
            <v>001980</v>
          </cell>
          <cell r="Y76">
            <v>2106000</v>
          </cell>
          <cell r="Z76">
            <v>36</v>
          </cell>
          <cell r="AA76">
            <v>58500</v>
          </cell>
        </row>
        <row r="77">
          <cell r="B77" t="str">
            <v>2012-596061</v>
          </cell>
          <cell r="C77" t="str">
            <v>001342595700000000</v>
          </cell>
          <cell r="D77" t="str">
            <v>CL 40A S 17A 93 E</v>
          </cell>
          <cell r="E77" t="str">
            <v>AAA0006TCTD</v>
          </cell>
          <cell r="F77">
            <v>36</v>
          </cell>
          <cell r="G77">
            <v>58500</v>
          </cell>
          <cell r="H77">
            <v>0</v>
          </cell>
          <cell r="I77" t="str">
            <v>61</v>
          </cell>
          <cell r="J77" t="str">
            <v>-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2106000</v>
          </cell>
          <cell r="P77">
            <v>0</v>
          </cell>
          <cell r="Q77">
            <v>36</v>
          </cell>
          <cell r="R77">
            <v>18000</v>
          </cell>
          <cell r="S77">
            <v>19800</v>
          </cell>
          <cell r="T77">
            <v>713000</v>
          </cell>
          <cell r="U77" t="str">
            <v>6611130110001  001800</v>
          </cell>
          <cell r="V77">
            <v>36</v>
          </cell>
          <cell r="W77">
            <v>18000</v>
          </cell>
          <cell r="X77" t="str">
            <v>001980</v>
          </cell>
          <cell r="Y77">
            <v>2106000</v>
          </cell>
          <cell r="Z77">
            <v>36</v>
          </cell>
          <cell r="AA77">
            <v>58500</v>
          </cell>
        </row>
        <row r="78">
          <cell r="B78" t="str">
            <v>2012-596064</v>
          </cell>
          <cell r="C78" t="str">
            <v>001342595900000000</v>
          </cell>
          <cell r="D78" t="str">
            <v>KR 18E 40A  11S</v>
          </cell>
          <cell r="E78" t="str">
            <v>AAA0006TCWW</v>
          </cell>
          <cell r="F78">
            <v>40.5</v>
          </cell>
          <cell r="G78">
            <v>58500</v>
          </cell>
          <cell r="H78">
            <v>0</v>
          </cell>
          <cell r="I78" t="str">
            <v>61</v>
          </cell>
          <cell r="J78" t="str">
            <v>-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2369000</v>
          </cell>
          <cell r="P78">
            <v>0</v>
          </cell>
          <cell r="Q78">
            <v>40.5</v>
          </cell>
          <cell r="R78">
            <v>18000</v>
          </cell>
          <cell r="S78">
            <v>19800</v>
          </cell>
          <cell r="T78">
            <v>802000</v>
          </cell>
          <cell r="U78" t="str">
            <v>6611130110001  001800</v>
          </cell>
          <cell r="V78">
            <v>40.5</v>
          </cell>
          <cell r="W78">
            <v>18000</v>
          </cell>
          <cell r="X78" t="str">
            <v>001980</v>
          </cell>
          <cell r="Y78">
            <v>2369000</v>
          </cell>
          <cell r="Z78">
            <v>40.5</v>
          </cell>
          <cell r="AA78">
            <v>58500</v>
          </cell>
        </row>
        <row r="79">
          <cell r="B79" t="str">
            <v>2012-596067</v>
          </cell>
          <cell r="C79" t="str">
            <v>001342596000000000</v>
          </cell>
          <cell r="D79" t="str">
            <v>KR 18E 40A  17S</v>
          </cell>
          <cell r="E79" t="str">
            <v>AAA0006TCXS</v>
          </cell>
          <cell r="F79">
            <v>40.5</v>
          </cell>
          <cell r="G79">
            <v>58500</v>
          </cell>
          <cell r="H79">
            <v>0</v>
          </cell>
          <cell r="I79" t="str">
            <v>61</v>
          </cell>
          <cell r="J79" t="str">
            <v>-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2369000</v>
          </cell>
          <cell r="P79">
            <v>0</v>
          </cell>
          <cell r="Q79">
            <v>40.5</v>
          </cell>
          <cell r="R79">
            <v>18000</v>
          </cell>
          <cell r="S79">
            <v>19800</v>
          </cell>
          <cell r="T79">
            <v>802000</v>
          </cell>
          <cell r="U79" t="str">
            <v>6611130110001  001800</v>
          </cell>
          <cell r="V79">
            <v>40.5</v>
          </cell>
          <cell r="W79">
            <v>18000</v>
          </cell>
          <cell r="X79" t="str">
            <v>001980</v>
          </cell>
          <cell r="Y79">
            <v>2369000</v>
          </cell>
          <cell r="Z79">
            <v>40.5</v>
          </cell>
          <cell r="AA79">
            <v>58500</v>
          </cell>
        </row>
        <row r="80">
          <cell r="B80" t="str">
            <v>2012-596070</v>
          </cell>
          <cell r="C80" t="str">
            <v>001342596100000000</v>
          </cell>
          <cell r="D80" t="str">
            <v>KR 18E 40A 23S</v>
          </cell>
          <cell r="E80" t="str">
            <v>AAA0006TCYN</v>
          </cell>
          <cell r="F80">
            <v>40.5</v>
          </cell>
          <cell r="G80">
            <v>58500</v>
          </cell>
          <cell r="H80">
            <v>0</v>
          </cell>
          <cell r="I80" t="str">
            <v>61</v>
          </cell>
          <cell r="J80" t="str">
            <v>-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2369000</v>
          </cell>
          <cell r="P80">
            <v>0</v>
          </cell>
          <cell r="Q80">
            <v>40.5</v>
          </cell>
          <cell r="R80">
            <v>18000</v>
          </cell>
          <cell r="S80">
            <v>19800</v>
          </cell>
          <cell r="T80">
            <v>802000</v>
          </cell>
          <cell r="U80" t="str">
            <v>6611130110001  001800</v>
          </cell>
          <cell r="V80">
            <v>40.5</v>
          </cell>
          <cell r="W80">
            <v>18000</v>
          </cell>
          <cell r="X80" t="str">
            <v>001980</v>
          </cell>
          <cell r="Y80">
            <v>2369000</v>
          </cell>
          <cell r="Z80">
            <v>40.5</v>
          </cell>
          <cell r="AA80">
            <v>58500</v>
          </cell>
        </row>
        <row r="81">
          <cell r="B81" t="str">
            <v>2012-596072</v>
          </cell>
          <cell r="C81" t="str">
            <v>001342596200000000</v>
          </cell>
          <cell r="D81" t="str">
            <v>KR 18E 40A 29S</v>
          </cell>
          <cell r="E81" t="str">
            <v>AAA0006TCZE</v>
          </cell>
          <cell r="F81">
            <v>40.5</v>
          </cell>
          <cell r="G81">
            <v>58500</v>
          </cell>
          <cell r="H81">
            <v>0</v>
          </cell>
          <cell r="I81" t="str">
            <v>61</v>
          </cell>
          <cell r="J81" t="str">
            <v>-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2369000</v>
          </cell>
          <cell r="P81">
            <v>0</v>
          </cell>
          <cell r="Q81">
            <v>40.5</v>
          </cell>
          <cell r="R81">
            <v>18000</v>
          </cell>
          <cell r="S81">
            <v>19800</v>
          </cell>
          <cell r="T81">
            <v>802000</v>
          </cell>
          <cell r="U81" t="str">
            <v>6611130110001  001800</v>
          </cell>
          <cell r="V81">
            <v>40.5</v>
          </cell>
          <cell r="W81">
            <v>18000</v>
          </cell>
          <cell r="X81" t="str">
            <v>001980</v>
          </cell>
          <cell r="Y81">
            <v>2369000</v>
          </cell>
          <cell r="Z81">
            <v>40.5</v>
          </cell>
          <cell r="AA81">
            <v>58500</v>
          </cell>
        </row>
        <row r="82">
          <cell r="B82" t="str">
            <v>2012-596073</v>
          </cell>
          <cell r="C82" t="str">
            <v>001342596300000000</v>
          </cell>
          <cell r="D82" t="str">
            <v>KR 18E 40A 35S</v>
          </cell>
          <cell r="E82" t="str">
            <v>AAA0006TDAF</v>
          </cell>
          <cell r="F82">
            <v>40.5</v>
          </cell>
          <cell r="G82">
            <v>58500</v>
          </cell>
          <cell r="H82">
            <v>0</v>
          </cell>
          <cell r="I82" t="str">
            <v>61</v>
          </cell>
          <cell r="J82" t="str">
            <v>-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2369000</v>
          </cell>
          <cell r="P82">
            <v>0</v>
          </cell>
          <cell r="Q82">
            <v>40.5</v>
          </cell>
          <cell r="R82">
            <v>18000</v>
          </cell>
          <cell r="S82">
            <v>19800</v>
          </cell>
          <cell r="T82">
            <v>802000</v>
          </cell>
          <cell r="U82" t="str">
            <v>6611130110001  001800</v>
          </cell>
          <cell r="V82">
            <v>40.5</v>
          </cell>
          <cell r="W82">
            <v>18000</v>
          </cell>
          <cell r="X82" t="str">
            <v>001980</v>
          </cell>
          <cell r="Y82">
            <v>2369000</v>
          </cell>
          <cell r="Z82">
            <v>40.5</v>
          </cell>
          <cell r="AA82">
            <v>58500</v>
          </cell>
        </row>
        <row r="83">
          <cell r="B83" t="str">
            <v>2012-596075</v>
          </cell>
          <cell r="C83" t="str">
            <v>001342596400000000</v>
          </cell>
          <cell r="D83" t="str">
            <v>KR 18E 40A 41S</v>
          </cell>
          <cell r="E83" t="str">
            <v>AAA0006TDBR</v>
          </cell>
          <cell r="F83">
            <v>40.5</v>
          </cell>
          <cell r="G83">
            <v>58500</v>
          </cell>
          <cell r="H83">
            <v>0</v>
          </cell>
          <cell r="I83" t="str">
            <v>61</v>
          </cell>
          <cell r="J83" t="str">
            <v>-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2369000</v>
          </cell>
          <cell r="P83">
            <v>0</v>
          </cell>
          <cell r="Q83">
            <v>40.5</v>
          </cell>
          <cell r="R83">
            <v>18000</v>
          </cell>
          <cell r="S83">
            <v>19800</v>
          </cell>
          <cell r="T83">
            <v>802000</v>
          </cell>
          <cell r="U83" t="str">
            <v>6611130110001  001800</v>
          </cell>
          <cell r="V83">
            <v>40.5</v>
          </cell>
          <cell r="W83">
            <v>18000</v>
          </cell>
          <cell r="X83" t="str">
            <v>001980</v>
          </cell>
          <cell r="Y83">
            <v>2369000</v>
          </cell>
          <cell r="Z83">
            <v>40.5</v>
          </cell>
          <cell r="AA83">
            <v>58500</v>
          </cell>
        </row>
        <row r="84">
          <cell r="B84" t="str">
            <v>2012-596100</v>
          </cell>
          <cell r="C84" t="str">
            <v>001342690100000000</v>
          </cell>
          <cell r="D84" t="str">
            <v>KR 18E 40B 49S</v>
          </cell>
          <cell r="E84" t="str">
            <v>AAA0006UABR</v>
          </cell>
          <cell r="F84">
            <v>40.5</v>
          </cell>
          <cell r="G84">
            <v>58500</v>
          </cell>
          <cell r="H84">
            <v>0</v>
          </cell>
          <cell r="I84" t="str">
            <v>63</v>
          </cell>
          <cell r="J84" t="str">
            <v>-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2369000</v>
          </cell>
          <cell r="P84">
            <v>0</v>
          </cell>
          <cell r="Q84">
            <v>40.5</v>
          </cell>
          <cell r="R84">
            <v>12000</v>
          </cell>
          <cell r="S84">
            <v>13680</v>
          </cell>
          <cell r="T84">
            <v>554000</v>
          </cell>
          <cell r="U84" t="str">
            <v>5727735152203 001200</v>
          </cell>
          <cell r="V84">
            <v>40.5</v>
          </cell>
          <cell r="W84">
            <v>12000</v>
          </cell>
          <cell r="X84" t="str">
            <v>001370</v>
          </cell>
          <cell r="Y84">
            <v>2369000</v>
          </cell>
          <cell r="Z84">
            <v>40.5</v>
          </cell>
          <cell r="AA84">
            <v>58500</v>
          </cell>
        </row>
        <row r="85">
          <cell r="B85" t="str">
            <v>2012-596106</v>
          </cell>
          <cell r="C85" t="str">
            <v>001342690200000000</v>
          </cell>
          <cell r="D85" t="str">
            <v>CL 40B BIS S 17A 94E</v>
          </cell>
          <cell r="E85" t="str">
            <v>AAA0006UACX</v>
          </cell>
          <cell r="F85">
            <v>36</v>
          </cell>
          <cell r="G85">
            <v>58500</v>
          </cell>
          <cell r="H85">
            <v>0</v>
          </cell>
          <cell r="I85" t="str">
            <v>63</v>
          </cell>
          <cell r="J85" t="str">
            <v>-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2106000</v>
          </cell>
          <cell r="P85">
            <v>0</v>
          </cell>
          <cell r="Q85">
            <v>36</v>
          </cell>
          <cell r="R85">
            <v>18000</v>
          </cell>
          <cell r="S85">
            <v>19800</v>
          </cell>
          <cell r="T85">
            <v>713000</v>
          </cell>
          <cell r="U85" t="str">
            <v>5727735152203 001800</v>
          </cell>
          <cell r="V85">
            <v>36</v>
          </cell>
          <cell r="W85">
            <v>18000</v>
          </cell>
          <cell r="X85" t="str">
            <v>001980</v>
          </cell>
          <cell r="Y85">
            <v>2106000</v>
          </cell>
          <cell r="Z85">
            <v>36</v>
          </cell>
          <cell r="AA85">
            <v>58500</v>
          </cell>
        </row>
        <row r="86">
          <cell r="B86" t="str">
            <v>2012-596111</v>
          </cell>
          <cell r="C86" t="str">
            <v>001342690300000000</v>
          </cell>
          <cell r="D86" t="str">
            <v>CL 40B BIS S 17A 90E</v>
          </cell>
          <cell r="E86" t="str">
            <v>AAA0006UADM</v>
          </cell>
          <cell r="F86">
            <v>36</v>
          </cell>
          <cell r="G86">
            <v>58500</v>
          </cell>
          <cell r="H86">
            <v>0</v>
          </cell>
          <cell r="I86" t="str">
            <v>63</v>
          </cell>
          <cell r="J86" t="str">
            <v>-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2106000</v>
          </cell>
          <cell r="P86">
            <v>0</v>
          </cell>
          <cell r="Q86">
            <v>36</v>
          </cell>
          <cell r="R86">
            <v>18000</v>
          </cell>
          <cell r="S86">
            <v>19800</v>
          </cell>
          <cell r="T86">
            <v>713000</v>
          </cell>
          <cell r="U86" t="str">
            <v>5727735152203 001800</v>
          </cell>
          <cell r="V86">
            <v>36</v>
          </cell>
          <cell r="W86">
            <v>18000</v>
          </cell>
          <cell r="X86" t="str">
            <v>001980</v>
          </cell>
          <cell r="Y86">
            <v>2106000</v>
          </cell>
          <cell r="Z86">
            <v>36</v>
          </cell>
          <cell r="AA86">
            <v>58500</v>
          </cell>
        </row>
        <row r="87">
          <cell r="B87" t="str">
            <v>2012-596176</v>
          </cell>
          <cell r="C87" t="str">
            <v>001342690400000000</v>
          </cell>
          <cell r="D87" t="str">
            <v>CL 40B BIS S 17A 86E</v>
          </cell>
          <cell r="E87" t="str">
            <v>AAA0006UAEA</v>
          </cell>
          <cell r="F87">
            <v>36</v>
          </cell>
          <cell r="G87">
            <v>58500</v>
          </cell>
          <cell r="H87">
            <v>0</v>
          </cell>
          <cell r="I87" t="str">
            <v>63</v>
          </cell>
          <cell r="J87" t="str">
            <v>-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2106000</v>
          </cell>
          <cell r="P87">
            <v>0</v>
          </cell>
          <cell r="Q87">
            <v>36</v>
          </cell>
          <cell r="R87">
            <v>18000</v>
          </cell>
          <cell r="S87">
            <v>19800</v>
          </cell>
          <cell r="T87">
            <v>713000</v>
          </cell>
          <cell r="U87" t="str">
            <v>5727735152203 001800</v>
          </cell>
          <cell r="V87">
            <v>36</v>
          </cell>
          <cell r="W87">
            <v>18000</v>
          </cell>
          <cell r="X87" t="str">
            <v>001980</v>
          </cell>
          <cell r="Y87">
            <v>2106000</v>
          </cell>
          <cell r="Z87">
            <v>36</v>
          </cell>
          <cell r="AA87">
            <v>58500</v>
          </cell>
        </row>
        <row r="88">
          <cell r="B88" t="str">
            <v>2012-596177</v>
          </cell>
          <cell r="C88" t="str">
            <v>001342690500000000</v>
          </cell>
          <cell r="D88" t="str">
            <v>CL 40B BIS S 17A 82E</v>
          </cell>
          <cell r="E88" t="str">
            <v>AAA0006UAFT</v>
          </cell>
          <cell r="F88">
            <v>36</v>
          </cell>
          <cell r="G88">
            <v>58500</v>
          </cell>
          <cell r="H88">
            <v>0</v>
          </cell>
          <cell r="I88" t="str">
            <v>63</v>
          </cell>
          <cell r="J88" t="str">
            <v>-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2106000</v>
          </cell>
          <cell r="P88">
            <v>0</v>
          </cell>
          <cell r="Q88">
            <v>36</v>
          </cell>
          <cell r="R88">
            <v>18000</v>
          </cell>
          <cell r="S88">
            <v>19800</v>
          </cell>
          <cell r="T88">
            <v>713000</v>
          </cell>
          <cell r="U88" t="str">
            <v>5727735152203 001800</v>
          </cell>
          <cell r="V88">
            <v>36</v>
          </cell>
          <cell r="W88">
            <v>18000</v>
          </cell>
          <cell r="X88" t="str">
            <v>001980</v>
          </cell>
          <cell r="Y88">
            <v>2106000</v>
          </cell>
          <cell r="Z88">
            <v>36</v>
          </cell>
          <cell r="AA88">
            <v>58500</v>
          </cell>
        </row>
        <row r="89">
          <cell r="B89" t="str">
            <v>2012-596179</v>
          </cell>
          <cell r="C89" t="str">
            <v>001342690600000000</v>
          </cell>
          <cell r="D89" t="str">
            <v>CL 40B BIS S 17A 78E</v>
          </cell>
          <cell r="E89" t="str">
            <v>AAA0006UAHY</v>
          </cell>
          <cell r="F89">
            <v>36</v>
          </cell>
          <cell r="G89">
            <v>58500</v>
          </cell>
          <cell r="H89">
            <v>0</v>
          </cell>
          <cell r="I89" t="str">
            <v>63</v>
          </cell>
          <cell r="J89" t="str">
            <v>-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2106000</v>
          </cell>
          <cell r="P89">
            <v>0</v>
          </cell>
          <cell r="Q89">
            <v>36</v>
          </cell>
          <cell r="R89">
            <v>18000</v>
          </cell>
          <cell r="S89">
            <v>19800</v>
          </cell>
          <cell r="T89">
            <v>713000</v>
          </cell>
          <cell r="U89" t="str">
            <v>5727735152203 001800</v>
          </cell>
          <cell r="V89">
            <v>36</v>
          </cell>
          <cell r="W89">
            <v>18000</v>
          </cell>
          <cell r="X89" t="str">
            <v>001980</v>
          </cell>
          <cell r="Y89">
            <v>2106000</v>
          </cell>
          <cell r="Z89">
            <v>36</v>
          </cell>
          <cell r="AA89">
            <v>58500</v>
          </cell>
        </row>
        <row r="90">
          <cell r="B90" t="str">
            <v>2012-596180</v>
          </cell>
          <cell r="C90" t="str">
            <v>001342690700000000</v>
          </cell>
          <cell r="D90" t="str">
            <v>CL 40B BIS S 17A 74E</v>
          </cell>
          <cell r="E90" t="str">
            <v>AAA0006UAJH</v>
          </cell>
          <cell r="F90">
            <v>36</v>
          </cell>
          <cell r="G90">
            <v>58500</v>
          </cell>
          <cell r="H90">
            <v>0</v>
          </cell>
          <cell r="I90" t="str">
            <v>63</v>
          </cell>
          <cell r="J90" t="str">
            <v>-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2106000</v>
          </cell>
          <cell r="P90">
            <v>0</v>
          </cell>
          <cell r="Q90">
            <v>36</v>
          </cell>
          <cell r="R90">
            <v>18000</v>
          </cell>
          <cell r="S90">
            <v>19800</v>
          </cell>
          <cell r="T90">
            <v>713000</v>
          </cell>
          <cell r="U90" t="str">
            <v>5727735152203 001800</v>
          </cell>
          <cell r="V90">
            <v>36</v>
          </cell>
          <cell r="W90">
            <v>18000</v>
          </cell>
          <cell r="X90" t="str">
            <v>001980</v>
          </cell>
          <cell r="Y90">
            <v>2106000</v>
          </cell>
          <cell r="Z90">
            <v>36</v>
          </cell>
          <cell r="AA90">
            <v>58500</v>
          </cell>
        </row>
        <row r="91">
          <cell r="B91" t="str">
            <v>2012-596181</v>
          </cell>
          <cell r="C91" t="str">
            <v>001342690800000000</v>
          </cell>
          <cell r="D91" t="str">
            <v>CL 40B BIS S 17A 70E</v>
          </cell>
          <cell r="E91" t="str">
            <v>AAA0006UAKL</v>
          </cell>
          <cell r="F91">
            <v>36</v>
          </cell>
          <cell r="G91">
            <v>58500</v>
          </cell>
          <cell r="H91">
            <v>0</v>
          </cell>
          <cell r="I91" t="str">
            <v>63</v>
          </cell>
          <cell r="J91" t="str">
            <v>-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2106000</v>
          </cell>
          <cell r="P91">
            <v>0</v>
          </cell>
          <cell r="Q91">
            <v>36</v>
          </cell>
          <cell r="R91">
            <v>18000</v>
          </cell>
          <cell r="S91">
            <v>19800</v>
          </cell>
          <cell r="T91">
            <v>713000</v>
          </cell>
          <cell r="U91" t="str">
            <v>5727735152203 001800</v>
          </cell>
          <cell r="V91">
            <v>36</v>
          </cell>
          <cell r="W91">
            <v>18000</v>
          </cell>
          <cell r="X91" t="str">
            <v>001980</v>
          </cell>
          <cell r="Y91">
            <v>2106000</v>
          </cell>
          <cell r="Z91">
            <v>36</v>
          </cell>
          <cell r="AA91">
            <v>58500</v>
          </cell>
        </row>
        <row r="92">
          <cell r="B92" t="str">
            <v>2012-596182</v>
          </cell>
          <cell r="C92" t="str">
            <v>001342690900000000</v>
          </cell>
          <cell r="D92" t="str">
            <v>CL 40B BIS S 17A 66E</v>
          </cell>
          <cell r="E92" t="str">
            <v>AAA0006UALW</v>
          </cell>
          <cell r="F92">
            <v>36</v>
          </cell>
          <cell r="G92">
            <v>58500</v>
          </cell>
          <cell r="H92">
            <v>0</v>
          </cell>
          <cell r="I92" t="str">
            <v>63</v>
          </cell>
          <cell r="J92" t="str">
            <v>-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2106000</v>
          </cell>
          <cell r="P92">
            <v>0</v>
          </cell>
          <cell r="Q92">
            <v>36</v>
          </cell>
          <cell r="R92">
            <v>18000</v>
          </cell>
          <cell r="S92">
            <v>19800</v>
          </cell>
          <cell r="T92">
            <v>713000</v>
          </cell>
          <cell r="U92" t="str">
            <v>5727735152203 001800</v>
          </cell>
          <cell r="V92">
            <v>36</v>
          </cell>
          <cell r="W92">
            <v>18000</v>
          </cell>
          <cell r="X92" t="str">
            <v>001980</v>
          </cell>
          <cell r="Y92">
            <v>2106000</v>
          </cell>
          <cell r="Z92">
            <v>36</v>
          </cell>
          <cell r="AA92">
            <v>58500</v>
          </cell>
        </row>
        <row r="93">
          <cell r="B93" t="str">
            <v>2012-596185</v>
          </cell>
          <cell r="C93" t="str">
            <v>001342691000000000</v>
          </cell>
          <cell r="D93" t="str">
            <v>CL 40B BIS S 17A 62E</v>
          </cell>
          <cell r="E93" t="str">
            <v>AAA0006UAMS</v>
          </cell>
          <cell r="F93">
            <v>36</v>
          </cell>
          <cell r="G93">
            <v>58500</v>
          </cell>
          <cell r="H93">
            <v>0</v>
          </cell>
          <cell r="I93" t="str">
            <v>63</v>
          </cell>
          <cell r="J93" t="str">
            <v>-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2106000</v>
          </cell>
          <cell r="P93">
            <v>0</v>
          </cell>
          <cell r="Q93">
            <v>36</v>
          </cell>
          <cell r="R93">
            <v>18000</v>
          </cell>
          <cell r="S93">
            <v>19800</v>
          </cell>
          <cell r="T93">
            <v>713000</v>
          </cell>
          <cell r="U93" t="str">
            <v>5727735152203 001800</v>
          </cell>
          <cell r="V93">
            <v>36</v>
          </cell>
          <cell r="W93">
            <v>18000</v>
          </cell>
          <cell r="X93" t="str">
            <v>001980</v>
          </cell>
          <cell r="Y93">
            <v>2106000</v>
          </cell>
          <cell r="Z93">
            <v>36</v>
          </cell>
          <cell r="AA93">
            <v>58500</v>
          </cell>
        </row>
        <row r="94">
          <cell r="B94" t="str">
            <v>2012-596188</v>
          </cell>
          <cell r="C94" t="str">
            <v>001342691100000000</v>
          </cell>
          <cell r="D94" t="str">
            <v>CL 40B BIS S 17A 58E</v>
          </cell>
          <cell r="E94" t="str">
            <v>AAA0006UANN</v>
          </cell>
          <cell r="F94">
            <v>36</v>
          </cell>
          <cell r="G94">
            <v>58500</v>
          </cell>
          <cell r="H94">
            <v>0</v>
          </cell>
          <cell r="I94" t="str">
            <v>63</v>
          </cell>
          <cell r="J94" t="str">
            <v>-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2106000</v>
          </cell>
          <cell r="P94">
            <v>0</v>
          </cell>
          <cell r="Q94">
            <v>36</v>
          </cell>
          <cell r="R94">
            <v>18000</v>
          </cell>
          <cell r="S94">
            <v>19800</v>
          </cell>
          <cell r="T94">
            <v>713000</v>
          </cell>
          <cell r="U94" t="str">
            <v>5727735152203 001800</v>
          </cell>
          <cell r="V94">
            <v>36</v>
          </cell>
          <cell r="W94">
            <v>18000</v>
          </cell>
          <cell r="X94" t="str">
            <v>001980</v>
          </cell>
          <cell r="Y94">
            <v>2106000</v>
          </cell>
          <cell r="Z94">
            <v>36</v>
          </cell>
          <cell r="AA94">
            <v>58500</v>
          </cell>
        </row>
        <row r="95">
          <cell r="B95" t="str">
            <v>2012-596189</v>
          </cell>
          <cell r="C95" t="str">
            <v>001342691200000000</v>
          </cell>
          <cell r="D95" t="str">
            <v>CL 40B BIS S 17A 54E</v>
          </cell>
          <cell r="E95" t="str">
            <v>AAA0006UAOE</v>
          </cell>
          <cell r="F95">
            <v>36</v>
          </cell>
          <cell r="G95">
            <v>58500</v>
          </cell>
          <cell r="H95">
            <v>0</v>
          </cell>
          <cell r="I95" t="str">
            <v>63</v>
          </cell>
          <cell r="J95" t="str">
            <v>-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2106000</v>
          </cell>
          <cell r="P95">
            <v>0</v>
          </cell>
          <cell r="Q95">
            <v>36</v>
          </cell>
          <cell r="R95">
            <v>18000</v>
          </cell>
          <cell r="S95">
            <v>19800</v>
          </cell>
          <cell r="T95">
            <v>713000</v>
          </cell>
          <cell r="U95" t="str">
            <v>6611130110001  001800</v>
          </cell>
          <cell r="V95">
            <v>36</v>
          </cell>
          <cell r="W95">
            <v>18000</v>
          </cell>
          <cell r="X95" t="str">
            <v>001980</v>
          </cell>
          <cell r="Y95">
            <v>2106000</v>
          </cell>
          <cell r="Z95">
            <v>36</v>
          </cell>
          <cell r="AA95">
            <v>58500</v>
          </cell>
        </row>
        <row r="96">
          <cell r="B96" t="str">
            <v>2012-596190</v>
          </cell>
          <cell r="C96" t="str">
            <v>001342691300000000</v>
          </cell>
          <cell r="D96" t="str">
            <v>CL 40B BIS S 17A 50E</v>
          </cell>
          <cell r="E96" t="str">
            <v>AAA0006UAPP</v>
          </cell>
          <cell r="F96">
            <v>36</v>
          </cell>
          <cell r="G96">
            <v>58500</v>
          </cell>
          <cell r="H96">
            <v>0</v>
          </cell>
          <cell r="I96" t="str">
            <v>63</v>
          </cell>
          <cell r="J96" t="str">
            <v>-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2106000</v>
          </cell>
          <cell r="P96">
            <v>0</v>
          </cell>
          <cell r="Q96">
            <v>36</v>
          </cell>
          <cell r="R96">
            <v>18000</v>
          </cell>
          <cell r="S96">
            <v>19800</v>
          </cell>
          <cell r="T96">
            <v>713000</v>
          </cell>
          <cell r="U96" t="str">
            <v>6611130110001  001800</v>
          </cell>
          <cell r="V96">
            <v>36</v>
          </cell>
          <cell r="W96">
            <v>18000</v>
          </cell>
          <cell r="X96" t="str">
            <v>001980</v>
          </cell>
          <cell r="Y96">
            <v>2106000</v>
          </cell>
          <cell r="Z96">
            <v>36</v>
          </cell>
          <cell r="AA96">
            <v>58500</v>
          </cell>
        </row>
        <row r="97">
          <cell r="B97" t="str">
            <v>2012-596192</v>
          </cell>
          <cell r="C97" t="str">
            <v>001342691400000000</v>
          </cell>
          <cell r="D97" t="str">
            <v>CL 40B BIS S 17A 46E</v>
          </cell>
          <cell r="E97" t="str">
            <v>AAA0006UARU</v>
          </cell>
          <cell r="F97">
            <v>36</v>
          </cell>
          <cell r="G97">
            <v>58500</v>
          </cell>
          <cell r="H97">
            <v>0</v>
          </cell>
          <cell r="I97" t="str">
            <v>63</v>
          </cell>
          <cell r="J97" t="str">
            <v>-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2106000</v>
          </cell>
          <cell r="P97">
            <v>0</v>
          </cell>
          <cell r="Q97">
            <v>36</v>
          </cell>
          <cell r="R97">
            <v>18000</v>
          </cell>
          <cell r="S97">
            <v>19800</v>
          </cell>
          <cell r="T97">
            <v>713000</v>
          </cell>
          <cell r="U97" t="str">
            <v>6611130110001  001800</v>
          </cell>
          <cell r="V97">
            <v>36</v>
          </cell>
          <cell r="W97">
            <v>18000</v>
          </cell>
          <cell r="X97" t="str">
            <v>001980</v>
          </cell>
          <cell r="Y97">
            <v>2106000</v>
          </cell>
          <cell r="Z97">
            <v>36</v>
          </cell>
          <cell r="AA97">
            <v>58500</v>
          </cell>
        </row>
        <row r="98">
          <cell r="B98" t="str">
            <v>2012-596193</v>
          </cell>
          <cell r="C98" t="str">
            <v>001342691500000000</v>
          </cell>
          <cell r="D98" t="str">
            <v>CL 40B BIS S 17A 42E</v>
          </cell>
          <cell r="E98" t="str">
            <v>AAA0006UASK</v>
          </cell>
          <cell r="F98">
            <v>36</v>
          </cell>
          <cell r="G98">
            <v>58500</v>
          </cell>
          <cell r="H98">
            <v>0</v>
          </cell>
          <cell r="I98" t="str">
            <v>63</v>
          </cell>
          <cell r="J98" t="str">
            <v>-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2106000</v>
          </cell>
          <cell r="P98">
            <v>0</v>
          </cell>
          <cell r="Q98">
            <v>36</v>
          </cell>
          <cell r="R98">
            <v>18000</v>
          </cell>
          <cell r="S98">
            <v>19800</v>
          </cell>
          <cell r="T98">
            <v>713000</v>
          </cell>
          <cell r="U98" t="str">
            <v>6611130110001  001800</v>
          </cell>
          <cell r="V98">
            <v>36</v>
          </cell>
          <cell r="W98">
            <v>18000</v>
          </cell>
          <cell r="X98" t="str">
            <v>001980</v>
          </cell>
          <cell r="Y98">
            <v>2106000</v>
          </cell>
          <cell r="Z98">
            <v>36</v>
          </cell>
          <cell r="AA98">
            <v>58500</v>
          </cell>
        </row>
        <row r="99">
          <cell r="B99" t="str">
            <v>2012-596195</v>
          </cell>
          <cell r="C99" t="str">
            <v>001342691600000000</v>
          </cell>
          <cell r="D99" t="str">
            <v>CL 40B BIS S 17A 38E</v>
          </cell>
          <cell r="E99" t="str">
            <v>AAA0006UATO</v>
          </cell>
          <cell r="F99">
            <v>36</v>
          </cell>
          <cell r="G99">
            <v>58500</v>
          </cell>
          <cell r="H99">
            <v>0</v>
          </cell>
          <cell r="I99" t="str">
            <v>63</v>
          </cell>
          <cell r="J99" t="str">
            <v>-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2106000</v>
          </cell>
          <cell r="P99">
            <v>0</v>
          </cell>
          <cell r="Q99">
            <v>36</v>
          </cell>
          <cell r="R99">
            <v>18000</v>
          </cell>
          <cell r="S99">
            <v>19800</v>
          </cell>
          <cell r="T99">
            <v>713000</v>
          </cell>
          <cell r="U99" t="str">
            <v>6611130110001  001800</v>
          </cell>
          <cell r="V99">
            <v>36</v>
          </cell>
          <cell r="W99">
            <v>18000</v>
          </cell>
          <cell r="X99" t="str">
            <v>001980</v>
          </cell>
          <cell r="Y99">
            <v>2106000</v>
          </cell>
          <cell r="Z99">
            <v>36</v>
          </cell>
          <cell r="AA99">
            <v>58500</v>
          </cell>
        </row>
        <row r="100">
          <cell r="B100" t="str">
            <v>2012-596382</v>
          </cell>
          <cell r="C100" t="str">
            <v>001342763400000000</v>
          </cell>
          <cell r="D100" t="str">
            <v>CL 40A BIS S 16A 13E</v>
          </cell>
          <cell r="E100" t="str">
            <v>AAA0006UTWW</v>
          </cell>
          <cell r="F100">
            <v>36</v>
          </cell>
          <cell r="G100">
            <v>58500</v>
          </cell>
          <cell r="H100">
            <v>0</v>
          </cell>
          <cell r="I100" t="str">
            <v>61</v>
          </cell>
          <cell r="J100" t="str">
            <v>-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2106000</v>
          </cell>
          <cell r="P100">
            <v>0</v>
          </cell>
          <cell r="Q100">
            <v>36</v>
          </cell>
          <cell r="R100">
            <v>18000</v>
          </cell>
          <cell r="S100">
            <v>19800</v>
          </cell>
          <cell r="T100">
            <v>713000</v>
          </cell>
          <cell r="U100" t="str">
            <v>6611130110001  001800</v>
          </cell>
          <cell r="V100">
            <v>36</v>
          </cell>
          <cell r="W100">
            <v>18000</v>
          </cell>
          <cell r="X100" t="str">
            <v>001980</v>
          </cell>
          <cell r="Y100">
            <v>2106000</v>
          </cell>
          <cell r="Z100">
            <v>36</v>
          </cell>
          <cell r="AA100">
            <v>58500</v>
          </cell>
        </row>
        <row r="101">
          <cell r="B101" t="str">
            <v>2012-596395</v>
          </cell>
          <cell r="C101" t="str">
            <v>001342763500000000</v>
          </cell>
          <cell r="D101" t="str">
            <v>CL 40A BIS S 16A 15E</v>
          </cell>
          <cell r="E101" t="str">
            <v>AAA0006UTXS</v>
          </cell>
          <cell r="F101">
            <v>36</v>
          </cell>
          <cell r="G101">
            <v>58500</v>
          </cell>
          <cell r="H101">
            <v>0</v>
          </cell>
          <cell r="I101" t="str">
            <v>61</v>
          </cell>
          <cell r="J101" t="str">
            <v>-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2106000</v>
          </cell>
          <cell r="P101">
            <v>0</v>
          </cell>
          <cell r="Q101">
            <v>36</v>
          </cell>
          <cell r="R101">
            <v>18000</v>
          </cell>
          <cell r="S101">
            <v>19800</v>
          </cell>
          <cell r="T101">
            <v>713000</v>
          </cell>
          <cell r="U101" t="str">
            <v>6611130110001  001800</v>
          </cell>
          <cell r="V101">
            <v>36</v>
          </cell>
          <cell r="W101">
            <v>18000</v>
          </cell>
          <cell r="X101" t="str">
            <v>001980</v>
          </cell>
          <cell r="Y101">
            <v>2106000</v>
          </cell>
          <cell r="Z101">
            <v>36</v>
          </cell>
          <cell r="AA101">
            <v>58500</v>
          </cell>
        </row>
        <row r="102">
          <cell r="B102" t="str">
            <v>2012-596400</v>
          </cell>
          <cell r="C102" t="str">
            <v>001342691700000000</v>
          </cell>
          <cell r="D102" t="str">
            <v>CL 40B BIS S 17A 34E</v>
          </cell>
          <cell r="E102" t="str">
            <v>AAA0006UAUZ</v>
          </cell>
          <cell r="F102">
            <v>36</v>
          </cell>
          <cell r="G102">
            <v>58500</v>
          </cell>
          <cell r="H102">
            <v>0</v>
          </cell>
          <cell r="I102" t="str">
            <v>63</v>
          </cell>
          <cell r="J102" t="str">
            <v>-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2106000</v>
          </cell>
          <cell r="P102">
            <v>0</v>
          </cell>
          <cell r="Q102">
            <v>36</v>
          </cell>
          <cell r="R102">
            <v>18000</v>
          </cell>
          <cell r="S102">
            <v>19800</v>
          </cell>
          <cell r="T102">
            <v>713000</v>
          </cell>
          <cell r="U102" t="str">
            <v>6611130110001  001800</v>
          </cell>
          <cell r="V102">
            <v>36</v>
          </cell>
          <cell r="W102">
            <v>18000</v>
          </cell>
          <cell r="X102" t="str">
            <v>001980</v>
          </cell>
          <cell r="Y102">
            <v>2106000</v>
          </cell>
          <cell r="Z102">
            <v>36</v>
          </cell>
          <cell r="AA102">
            <v>58500</v>
          </cell>
        </row>
        <row r="103">
          <cell r="B103" t="str">
            <v>2012-596405</v>
          </cell>
          <cell r="C103" t="str">
            <v>001342691800000000</v>
          </cell>
          <cell r="D103" t="str">
            <v>CL 40B BIS S 17A 30E</v>
          </cell>
          <cell r="E103" t="str">
            <v>AAA0006UAWF</v>
          </cell>
          <cell r="F103">
            <v>36</v>
          </cell>
          <cell r="G103">
            <v>58500</v>
          </cell>
          <cell r="H103">
            <v>0</v>
          </cell>
          <cell r="I103" t="str">
            <v>63</v>
          </cell>
          <cell r="J103" t="str">
            <v>-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2106000</v>
          </cell>
          <cell r="P103">
            <v>0</v>
          </cell>
          <cell r="Q103">
            <v>36</v>
          </cell>
          <cell r="R103">
            <v>18000</v>
          </cell>
          <cell r="S103">
            <v>19800</v>
          </cell>
          <cell r="T103">
            <v>713000</v>
          </cell>
          <cell r="U103" t="str">
            <v>6611130110001  001800</v>
          </cell>
          <cell r="V103">
            <v>36</v>
          </cell>
          <cell r="W103">
            <v>18000</v>
          </cell>
          <cell r="X103" t="str">
            <v>001980</v>
          </cell>
          <cell r="Y103">
            <v>2106000</v>
          </cell>
          <cell r="Z103">
            <v>36</v>
          </cell>
          <cell r="AA103">
            <v>58500</v>
          </cell>
        </row>
        <row r="104">
          <cell r="B104" t="str">
            <v>2012-596406</v>
          </cell>
          <cell r="C104" t="str">
            <v>001342691900000000</v>
          </cell>
          <cell r="D104" t="str">
            <v>CL 40B BIS S 17A 26E</v>
          </cell>
          <cell r="E104" t="str">
            <v>AAA0006UAXR</v>
          </cell>
          <cell r="F104">
            <v>36</v>
          </cell>
          <cell r="G104">
            <v>58500</v>
          </cell>
          <cell r="H104">
            <v>0</v>
          </cell>
          <cell r="I104" t="str">
            <v>63</v>
          </cell>
          <cell r="J104" t="str">
            <v>-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2106000</v>
          </cell>
          <cell r="P104">
            <v>0</v>
          </cell>
          <cell r="Q104">
            <v>36</v>
          </cell>
          <cell r="R104">
            <v>18000</v>
          </cell>
          <cell r="S104">
            <v>19800</v>
          </cell>
          <cell r="T104">
            <v>713000</v>
          </cell>
          <cell r="U104" t="str">
            <v>6611130110001  001800</v>
          </cell>
          <cell r="V104">
            <v>36</v>
          </cell>
          <cell r="W104">
            <v>18000</v>
          </cell>
          <cell r="X104" t="str">
            <v>001980</v>
          </cell>
          <cell r="Y104">
            <v>2106000</v>
          </cell>
          <cell r="Z104">
            <v>36</v>
          </cell>
          <cell r="AA104">
            <v>58500</v>
          </cell>
        </row>
        <row r="105">
          <cell r="B105" t="str">
            <v>2012-596407</v>
          </cell>
          <cell r="C105" t="str">
            <v>001342692000000000</v>
          </cell>
          <cell r="D105" t="str">
            <v>CL 40B BIS S 17A 22E</v>
          </cell>
          <cell r="E105" t="str">
            <v>AAA0006UAYX</v>
          </cell>
          <cell r="F105">
            <v>36</v>
          </cell>
          <cell r="G105">
            <v>58500</v>
          </cell>
          <cell r="H105">
            <v>0</v>
          </cell>
          <cell r="I105" t="str">
            <v>63</v>
          </cell>
          <cell r="J105" t="str">
            <v>-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2106000</v>
          </cell>
          <cell r="P105">
            <v>0</v>
          </cell>
          <cell r="Q105">
            <v>36</v>
          </cell>
          <cell r="R105">
            <v>18000</v>
          </cell>
          <cell r="S105">
            <v>19800</v>
          </cell>
          <cell r="T105">
            <v>713000</v>
          </cell>
          <cell r="U105" t="str">
            <v>6611130110001  001800</v>
          </cell>
          <cell r="V105">
            <v>36</v>
          </cell>
          <cell r="W105">
            <v>18000</v>
          </cell>
          <cell r="X105" t="str">
            <v>001980</v>
          </cell>
          <cell r="Y105">
            <v>2106000</v>
          </cell>
          <cell r="Z105">
            <v>36</v>
          </cell>
          <cell r="AA105">
            <v>58500</v>
          </cell>
        </row>
        <row r="106">
          <cell r="B106" t="str">
            <v>2012-596409</v>
          </cell>
          <cell r="C106" t="str">
            <v>001342692100000000</v>
          </cell>
          <cell r="D106" t="str">
            <v>CL 40B BIS S 17A 18E</v>
          </cell>
          <cell r="E106" t="str">
            <v>AAA0006UAZM</v>
          </cell>
          <cell r="F106">
            <v>36</v>
          </cell>
          <cell r="G106">
            <v>58500</v>
          </cell>
          <cell r="H106">
            <v>0</v>
          </cell>
          <cell r="I106" t="str">
            <v>63</v>
          </cell>
          <cell r="J106" t="str">
            <v>-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2106000</v>
          </cell>
          <cell r="P106">
            <v>0</v>
          </cell>
          <cell r="Q106">
            <v>36</v>
          </cell>
          <cell r="R106">
            <v>18000</v>
          </cell>
          <cell r="S106">
            <v>19800</v>
          </cell>
          <cell r="T106">
            <v>713000</v>
          </cell>
          <cell r="U106" t="str">
            <v>6611130110001  001800</v>
          </cell>
          <cell r="V106">
            <v>36</v>
          </cell>
          <cell r="W106">
            <v>18000</v>
          </cell>
          <cell r="X106" t="str">
            <v>001980</v>
          </cell>
          <cell r="Y106">
            <v>2106000</v>
          </cell>
          <cell r="Z106">
            <v>36</v>
          </cell>
          <cell r="AA106">
            <v>58500</v>
          </cell>
        </row>
        <row r="107">
          <cell r="B107" t="str">
            <v>2012-596412</v>
          </cell>
          <cell r="C107" t="str">
            <v>001342692200000000</v>
          </cell>
          <cell r="D107" t="str">
            <v>CL 40B BIS S 17A 14E</v>
          </cell>
          <cell r="E107" t="str">
            <v>AAA0006UBAW</v>
          </cell>
          <cell r="F107">
            <v>36</v>
          </cell>
          <cell r="G107">
            <v>58500</v>
          </cell>
          <cell r="H107">
            <v>0</v>
          </cell>
          <cell r="I107" t="str">
            <v>63</v>
          </cell>
          <cell r="J107" t="str">
            <v>-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2106000</v>
          </cell>
          <cell r="P107">
            <v>0</v>
          </cell>
          <cell r="Q107">
            <v>36</v>
          </cell>
          <cell r="R107">
            <v>18000</v>
          </cell>
          <cell r="S107">
            <v>19800</v>
          </cell>
          <cell r="T107">
            <v>713000</v>
          </cell>
          <cell r="U107" t="str">
            <v>6611130110001  001800</v>
          </cell>
          <cell r="V107">
            <v>36</v>
          </cell>
          <cell r="W107">
            <v>18000</v>
          </cell>
          <cell r="X107" t="str">
            <v>001980</v>
          </cell>
          <cell r="Y107">
            <v>2106000</v>
          </cell>
          <cell r="Z107">
            <v>36</v>
          </cell>
          <cell r="AA107">
            <v>58500</v>
          </cell>
        </row>
        <row r="108">
          <cell r="B108" t="str">
            <v>2012-596413</v>
          </cell>
          <cell r="C108" t="str">
            <v>001342692300000000</v>
          </cell>
          <cell r="D108" t="str">
            <v>CL 40B BIS S 17A 10E</v>
          </cell>
          <cell r="E108" t="str">
            <v>AAA0006UBBS</v>
          </cell>
          <cell r="F108">
            <v>36</v>
          </cell>
          <cell r="G108">
            <v>58500</v>
          </cell>
          <cell r="H108">
            <v>0</v>
          </cell>
          <cell r="I108" t="str">
            <v>62</v>
          </cell>
          <cell r="J108" t="str">
            <v>-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2106000</v>
          </cell>
          <cell r="P108">
            <v>0</v>
          </cell>
          <cell r="Q108">
            <v>36</v>
          </cell>
          <cell r="R108">
            <v>18000</v>
          </cell>
          <cell r="S108">
            <v>19800</v>
          </cell>
          <cell r="T108">
            <v>713000</v>
          </cell>
          <cell r="U108" t="str">
            <v>6611130110001  001800</v>
          </cell>
          <cell r="V108">
            <v>36</v>
          </cell>
          <cell r="W108">
            <v>18000</v>
          </cell>
          <cell r="X108" t="str">
            <v>001980</v>
          </cell>
          <cell r="Y108">
            <v>2106000</v>
          </cell>
          <cell r="Z108">
            <v>36</v>
          </cell>
          <cell r="AA108">
            <v>58500</v>
          </cell>
        </row>
        <row r="109">
          <cell r="B109" t="str">
            <v>2012-596415</v>
          </cell>
          <cell r="C109" t="str">
            <v>001342692400000000</v>
          </cell>
          <cell r="D109" t="str">
            <v>CL 40B BIS S 17A 08E</v>
          </cell>
          <cell r="E109" t="str">
            <v>AAA0006UBCN</v>
          </cell>
          <cell r="F109">
            <v>36</v>
          </cell>
          <cell r="G109">
            <v>58500</v>
          </cell>
          <cell r="H109">
            <v>0</v>
          </cell>
          <cell r="I109" t="str">
            <v>63</v>
          </cell>
          <cell r="J109" t="str">
            <v>-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2106000</v>
          </cell>
          <cell r="P109">
            <v>0</v>
          </cell>
          <cell r="Q109">
            <v>36</v>
          </cell>
          <cell r="R109">
            <v>18000</v>
          </cell>
          <cell r="S109">
            <v>19800</v>
          </cell>
          <cell r="T109">
            <v>713000</v>
          </cell>
          <cell r="U109" t="str">
            <v>6611130110001  001800</v>
          </cell>
          <cell r="V109">
            <v>36</v>
          </cell>
          <cell r="W109">
            <v>18000</v>
          </cell>
          <cell r="X109" t="str">
            <v>001980</v>
          </cell>
          <cell r="Y109">
            <v>2106000</v>
          </cell>
          <cell r="Z109">
            <v>36</v>
          </cell>
          <cell r="AA109">
            <v>58500</v>
          </cell>
        </row>
        <row r="110">
          <cell r="B110" t="str">
            <v>2012-596452</v>
          </cell>
          <cell r="C110" t="str">
            <v>001342763600000000</v>
          </cell>
          <cell r="D110" t="str">
            <v>CL 40A BIS S 16A 19E</v>
          </cell>
          <cell r="E110" t="str">
            <v>AAA0006UTYN</v>
          </cell>
          <cell r="F110">
            <v>36</v>
          </cell>
          <cell r="G110">
            <v>58500</v>
          </cell>
          <cell r="H110">
            <v>0</v>
          </cell>
          <cell r="I110" t="str">
            <v>61</v>
          </cell>
          <cell r="J110" t="str">
            <v>-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2106000</v>
          </cell>
          <cell r="P110">
            <v>0</v>
          </cell>
          <cell r="Q110">
            <v>36</v>
          </cell>
          <cell r="R110">
            <v>18000</v>
          </cell>
          <cell r="S110">
            <v>19800</v>
          </cell>
          <cell r="T110">
            <v>713000</v>
          </cell>
          <cell r="U110" t="str">
            <v>6611130110001  001800</v>
          </cell>
          <cell r="V110">
            <v>36</v>
          </cell>
          <cell r="W110">
            <v>18000</v>
          </cell>
          <cell r="X110" t="str">
            <v>001980</v>
          </cell>
          <cell r="Y110">
            <v>2106000</v>
          </cell>
          <cell r="Z110">
            <v>36</v>
          </cell>
          <cell r="AA110">
            <v>58500</v>
          </cell>
        </row>
        <row r="111">
          <cell r="B111" t="str">
            <v>2012-596464</v>
          </cell>
          <cell r="C111" t="str">
            <v>001342763700000000</v>
          </cell>
          <cell r="D111" t="str">
            <v>CL 40A BIS S 16A 23E</v>
          </cell>
          <cell r="E111" t="str">
            <v>AAA0006UTZE</v>
          </cell>
          <cell r="F111">
            <v>36</v>
          </cell>
          <cell r="G111">
            <v>58500</v>
          </cell>
          <cell r="H111">
            <v>0</v>
          </cell>
          <cell r="I111" t="str">
            <v>61</v>
          </cell>
          <cell r="J111" t="str">
            <v>-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2106000</v>
          </cell>
          <cell r="P111">
            <v>0</v>
          </cell>
          <cell r="Q111">
            <v>36</v>
          </cell>
          <cell r="R111">
            <v>18000</v>
          </cell>
          <cell r="S111">
            <v>19800</v>
          </cell>
          <cell r="T111">
            <v>713000</v>
          </cell>
          <cell r="U111" t="str">
            <v>6611130110001  001800</v>
          </cell>
          <cell r="V111">
            <v>36</v>
          </cell>
          <cell r="W111">
            <v>18000</v>
          </cell>
          <cell r="X111" t="str">
            <v>001980</v>
          </cell>
          <cell r="Y111">
            <v>2106000</v>
          </cell>
          <cell r="Z111">
            <v>36</v>
          </cell>
          <cell r="AA111">
            <v>58500</v>
          </cell>
        </row>
        <row r="112">
          <cell r="B112" t="str">
            <v>2012-596524</v>
          </cell>
          <cell r="C112" t="str">
            <v>001342763800000000</v>
          </cell>
          <cell r="D112" t="str">
            <v>CL 40A BIS S 16A 27E</v>
          </cell>
          <cell r="E112" t="str">
            <v>AAA0006UUAF</v>
          </cell>
          <cell r="F112">
            <v>36</v>
          </cell>
          <cell r="G112">
            <v>58500</v>
          </cell>
          <cell r="H112">
            <v>0</v>
          </cell>
          <cell r="I112" t="str">
            <v>61</v>
          </cell>
          <cell r="J112" t="str">
            <v>-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2106000</v>
          </cell>
          <cell r="P112">
            <v>0</v>
          </cell>
          <cell r="Q112">
            <v>36</v>
          </cell>
          <cell r="R112">
            <v>18000</v>
          </cell>
          <cell r="S112">
            <v>19800</v>
          </cell>
          <cell r="T112">
            <v>713000</v>
          </cell>
          <cell r="U112" t="str">
            <v>6611130110001  001800</v>
          </cell>
          <cell r="V112">
            <v>36</v>
          </cell>
          <cell r="W112">
            <v>18000</v>
          </cell>
          <cell r="X112" t="str">
            <v>001980</v>
          </cell>
          <cell r="Y112">
            <v>2106000</v>
          </cell>
          <cell r="Z112">
            <v>36</v>
          </cell>
          <cell r="AA112">
            <v>58500</v>
          </cell>
        </row>
        <row r="113">
          <cell r="B113" t="str">
            <v>2012-596530</v>
          </cell>
          <cell r="C113" t="str">
            <v>001342763900000000</v>
          </cell>
          <cell r="D113" t="str">
            <v>CL 40A BIS S 16A 31E</v>
          </cell>
          <cell r="E113" t="str">
            <v>AAA0006UUBR</v>
          </cell>
          <cell r="F113">
            <v>36</v>
          </cell>
          <cell r="G113">
            <v>58500</v>
          </cell>
          <cell r="H113">
            <v>0</v>
          </cell>
          <cell r="I113" t="str">
            <v>61</v>
          </cell>
          <cell r="J113" t="str">
            <v>-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2106000</v>
          </cell>
          <cell r="P113">
            <v>0</v>
          </cell>
          <cell r="Q113">
            <v>36</v>
          </cell>
          <cell r="R113">
            <v>18000</v>
          </cell>
          <cell r="S113">
            <v>19800</v>
          </cell>
          <cell r="T113">
            <v>713000</v>
          </cell>
          <cell r="U113" t="str">
            <v>6611130110001  001800</v>
          </cell>
          <cell r="V113">
            <v>36</v>
          </cell>
          <cell r="W113">
            <v>18000</v>
          </cell>
          <cell r="X113" t="str">
            <v>001980</v>
          </cell>
          <cell r="Y113">
            <v>2106000</v>
          </cell>
          <cell r="Z113">
            <v>36</v>
          </cell>
          <cell r="AA113">
            <v>58500</v>
          </cell>
        </row>
        <row r="114">
          <cell r="B114" t="str">
            <v>2012-596534</v>
          </cell>
          <cell r="C114" t="str">
            <v>001342764000000000</v>
          </cell>
          <cell r="D114" t="str">
            <v>CL 40A BIS S 16A 35E</v>
          </cell>
          <cell r="E114" t="str">
            <v>AAA0006UUCX</v>
          </cell>
          <cell r="F114">
            <v>36</v>
          </cell>
          <cell r="G114">
            <v>58500</v>
          </cell>
          <cell r="H114">
            <v>0</v>
          </cell>
          <cell r="I114" t="str">
            <v>61</v>
          </cell>
          <cell r="J114" t="str">
            <v>-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2106000</v>
          </cell>
          <cell r="P114">
            <v>0</v>
          </cell>
          <cell r="Q114">
            <v>36</v>
          </cell>
          <cell r="R114">
            <v>18000</v>
          </cell>
          <cell r="S114">
            <v>19800</v>
          </cell>
          <cell r="T114">
            <v>713000</v>
          </cell>
          <cell r="U114" t="str">
            <v>6611130110001  001800</v>
          </cell>
          <cell r="V114">
            <v>36</v>
          </cell>
          <cell r="W114">
            <v>18000</v>
          </cell>
          <cell r="X114" t="str">
            <v>001980</v>
          </cell>
          <cell r="Y114">
            <v>2106000</v>
          </cell>
          <cell r="Z114">
            <v>36</v>
          </cell>
          <cell r="AA114">
            <v>58500</v>
          </cell>
        </row>
        <row r="115">
          <cell r="B115" t="str">
            <v>2012-596576</v>
          </cell>
          <cell r="C115" t="str">
            <v>001342764100000000</v>
          </cell>
          <cell r="D115" t="str">
            <v>CL 40A BIS S 16A 39E</v>
          </cell>
          <cell r="E115" t="str">
            <v>AAA0006UUDM</v>
          </cell>
          <cell r="F115">
            <v>36</v>
          </cell>
          <cell r="G115">
            <v>58500</v>
          </cell>
          <cell r="H115">
            <v>0</v>
          </cell>
          <cell r="I115" t="str">
            <v>61</v>
          </cell>
          <cell r="J115" t="str">
            <v>-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2106000</v>
          </cell>
          <cell r="P115">
            <v>0</v>
          </cell>
          <cell r="Q115">
            <v>36</v>
          </cell>
          <cell r="R115">
            <v>18000</v>
          </cell>
          <cell r="S115">
            <v>19800</v>
          </cell>
          <cell r="T115">
            <v>713000</v>
          </cell>
          <cell r="U115" t="str">
            <v>6611130110001  001800</v>
          </cell>
          <cell r="V115">
            <v>36</v>
          </cell>
          <cell r="W115">
            <v>18000</v>
          </cell>
          <cell r="X115" t="str">
            <v>001980</v>
          </cell>
          <cell r="Y115">
            <v>2106000</v>
          </cell>
          <cell r="Z115">
            <v>36</v>
          </cell>
          <cell r="AA115">
            <v>58500</v>
          </cell>
        </row>
        <row r="116">
          <cell r="B116" t="str">
            <v>2012-596583</v>
          </cell>
          <cell r="C116" t="str">
            <v>001342764200000000</v>
          </cell>
          <cell r="D116" t="str">
            <v>CL 40A BIS S 16A 43E</v>
          </cell>
          <cell r="E116" t="str">
            <v>AAA0006UUEA</v>
          </cell>
          <cell r="F116">
            <v>36</v>
          </cell>
          <cell r="G116">
            <v>58500</v>
          </cell>
          <cell r="H116">
            <v>0</v>
          </cell>
          <cell r="I116" t="str">
            <v>61</v>
          </cell>
          <cell r="J116" t="str">
            <v>-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2106000</v>
          </cell>
          <cell r="P116">
            <v>0</v>
          </cell>
          <cell r="Q116">
            <v>36</v>
          </cell>
          <cell r="R116">
            <v>18000</v>
          </cell>
          <cell r="S116">
            <v>19800</v>
          </cell>
          <cell r="T116">
            <v>713000</v>
          </cell>
          <cell r="U116" t="str">
            <v>6611130110001  001800</v>
          </cell>
          <cell r="V116">
            <v>36</v>
          </cell>
          <cell r="W116">
            <v>18000</v>
          </cell>
          <cell r="X116" t="str">
            <v>001980</v>
          </cell>
          <cell r="Y116">
            <v>2106000</v>
          </cell>
          <cell r="Z116">
            <v>36</v>
          </cell>
          <cell r="AA116">
            <v>58500</v>
          </cell>
        </row>
        <row r="117">
          <cell r="B117" t="str">
            <v>2012-596592</v>
          </cell>
          <cell r="C117" t="str">
            <v>001342764300000000</v>
          </cell>
          <cell r="D117" t="str">
            <v>CL 40A BIS S 16A 47E</v>
          </cell>
          <cell r="E117" t="str">
            <v>AAA0006UUFT</v>
          </cell>
          <cell r="F117">
            <v>36</v>
          </cell>
          <cell r="G117">
            <v>58500</v>
          </cell>
          <cell r="H117">
            <v>0</v>
          </cell>
          <cell r="I117" t="str">
            <v>61</v>
          </cell>
          <cell r="J117" t="str">
            <v>-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2106000</v>
          </cell>
          <cell r="P117">
            <v>0</v>
          </cell>
          <cell r="Q117">
            <v>36</v>
          </cell>
          <cell r="R117">
            <v>18000</v>
          </cell>
          <cell r="S117">
            <v>19800</v>
          </cell>
          <cell r="T117">
            <v>713000</v>
          </cell>
          <cell r="U117" t="str">
            <v>6611130110001  001800</v>
          </cell>
          <cell r="V117">
            <v>36</v>
          </cell>
          <cell r="W117">
            <v>18000</v>
          </cell>
          <cell r="X117" t="str">
            <v>001980</v>
          </cell>
          <cell r="Y117">
            <v>2106000</v>
          </cell>
          <cell r="Z117">
            <v>36</v>
          </cell>
          <cell r="AA117">
            <v>58500</v>
          </cell>
        </row>
        <row r="118">
          <cell r="B118" t="str">
            <v>2012-596634</v>
          </cell>
          <cell r="C118" t="str">
            <v>001342764500000000</v>
          </cell>
          <cell r="D118" t="str">
            <v>CL 40A BIS S 16A 55E</v>
          </cell>
          <cell r="E118" t="str">
            <v>AAA0006UUJH</v>
          </cell>
          <cell r="F118">
            <v>36</v>
          </cell>
          <cell r="G118">
            <v>58500</v>
          </cell>
          <cell r="H118">
            <v>0</v>
          </cell>
          <cell r="I118" t="str">
            <v>61</v>
          </cell>
          <cell r="J118" t="str">
            <v>-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2106000</v>
          </cell>
          <cell r="P118">
            <v>0</v>
          </cell>
          <cell r="Q118">
            <v>36</v>
          </cell>
          <cell r="R118">
            <v>18000</v>
          </cell>
          <cell r="S118">
            <v>19800</v>
          </cell>
          <cell r="T118">
            <v>713000</v>
          </cell>
          <cell r="U118" t="str">
            <v>6611130110001  001800</v>
          </cell>
          <cell r="V118">
            <v>36</v>
          </cell>
          <cell r="W118">
            <v>18000</v>
          </cell>
          <cell r="X118" t="str">
            <v>001980</v>
          </cell>
          <cell r="Y118">
            <v>2106000</v>
          </cell>
          <cell r="Z118">
            <v>36</v>
          </cell>
          <cell r="AA118">
            <v>58500</v>
          </cell>
        </row>
        <row r="119">
          <cell r="B119" t="str">
            <v>2012-596638</v>
          </cell>
          <cell r="C119" t="str">
            <v>001342764600000000</v>
          </cell>
          <cell r="D119" t="str">
            <v>CL 40A BIS S 16A 57E</v>
          </cell>
          <cell r="E119" t="str">
            <v>AAA0006UUKL</v>
          </cell>
          <cell r="F119">
            <v>36</v>
          </cell>
          <cell r="G119">
            <v>58500</v>
          </cell>
          <cell r="H119">
            <v>0</v>
          </cell>
          <cell r="I119" t="str">
            <v>61</v>
          </cell>
          <cell r="J119" t="str">
            <v>-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2106000</v>
          </cell>
          <cell r="P119">
            <v>0</v>
          </cell>
          <cell r="Q119">
            <v>36</v>
          </cell>
          <cell r="R119">
            <v>18000</v>
          </cell>
          <cell r="S119">
            <v>19800</v>
          </cell>
          <cell r="T119">
            <v>713000</v>
          </cell>
          <cell r="U119" t="str">
            <v>6611130110001  001800</v>
          </cell>
          <cell r="V119">
            <v>36</v>
          </cell>
          <cell r="W119">
            <v>18000</v>
          </cell>
          <cell r="X119" t="str">
            <v>001980</v>
          </cell>
          <cell r="Y119">
            <v>2106000</v>
          </cell>
          <cell r="Z119">
            <v>36</v>
          </cell>
          <cell r="AA119">
            <v>58500</v>
          </cell>
        </row>
        <row r="120">
          <cell r="B120" t="str">
            <v>2012-596640</v>
          </cell>
          <cell r="C120" t="str">
            <v>001342764700000000</v>
          </cell>
          <cell r="D120" t="str">
            <v>CL 40A BIS S 16A 63E</v>
          </cell>
          <cell r="E120" t="str">
            <v>AAA0006UULW</v>
          </cell>
          <cell r="F120">
            <v>36</v>
          </cell>
          <cell r="G120">
            <v>58500</v>
          </cell>
          <cell r="H120">
            <v>0</v>
          </cell>
          <cell r="I120" t="str">
            <v>61</v>
          </cell>
          <cell r="J120" t="str">
            <v>-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2106000</v>
          </cell>
          <cell r="P120">
            <v>0</v>
          </cell>
          <cell r="Q120">
            <v>36</v>
          </cell>
          <cell r="R120">
            <v>18000</v>
          </cell>
          <cell r="S120">
            <v>19800</v>
          </cell>
          <cell r="T120">
            <v>713000</v>
          </cell>
          <cell r="U120" t="str">
            <v>6611130110001  001800</v>
          </cell>
          <cell r="V120">
            <v>36</v>
          </cell>
          <cell r="W120">
            <v>18000</v>
          </cell>
          <cell r="X120" t="str">
            <v>001980</v>
          </cell>
          <cell r="Y120">
            <v>2106000</v>
          </cell>
          <cell r="Z120">
            <v>36</v>
          </cell>
          <cell r="AA120">
            <v>58500</v>
          </cell>
        </row>
        <row r="121">
          <cell r="B121" t="str">
            <v>2012-596641</v>
          </cell>
          <cell r="C121" t="str">
            <v>001342764800000000</v>
          </cell>
          <cell r="D121" t="str">
            <v>CL 40A BIS S 16A 67E</v>
          </cell>
          <cell r="E121" t="str">
            <v>AAA0006UUMS</v>
          </cell>
          <cell r="F121">
            <v>36</v>
          </cell>
          <cell r="G121">
            <v>58500</v>
          </cell>
          <cell r="H121">
            <v>0</v>
          </cell>
          <cell r="I121" t="str">
            <v>61</v>
          </cell>
          <cell r="J121" t="str">
            <v>-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2106000</v>
          </cell>
          <cell r="P121">
            <v>0</v>
          </cell>
          <cell r="Q121">
            <v>36</v>
          </cell>
          <cell r="R121">
            <v>18000</v>
          </cell>
          <cell r="S121">
            <v>19800</v>
          </cell>
          <cell r="T121">
            <v>713000</v>
          </cell>
          <cell r="U121" t="str">
            <v>6611130110001  001800</v>
          </cell>
          <cell r="V121">
            <v>36</v>
          </cell>
          <cell r="W121">
            <v>18000</v>
          </cell>
          <cell r="X121" t="str">
            <v>001980</v>
          </cell>
          <cell r="Y121">
            <v>2106000</v>
          </cell>
          <cell r="Z121">
            <v>36</v>
          </cell>
          <cell r="AA121">
            <v>58500</v>
          </cell>
        </row>
        <row r="122">
          <cell r="B122" t="str">
            <v>2012-596644</v>
          </cell>
          <cell r="C122" t="str">
            <v>001342765000000000</v>
          </cell>
          <cell r="D122" t="str">
            <v>CL 40A BIS S 16A 75E</v>
          </cell>
          <cell r="E122" t="str">
            <v>AAA0006UUOE</v>
          </cell>
          <cell r="F122">
            <v>36</v>
          </cell>
          <cell r="G122">
            <v>58500</v>
          </cell>
          <cell r="H122">
            <v>0</v>
          </cell>
          <cell r="I122" t="str">
            <v>61</v>
          </cell>
          <cell r="J122" t="str">
            <v>-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2106000</v>
          </cell>
          <cell r="P122">
            <v>0</v>
          </cell>
          <cell r="Q122">
            <v>36</v>
          </cell>
          <cell r="R122">
            <v>18000</v>
          </cell>
          <cell r="S122">
            <v>19800</v>
          </cell>
          <cell r="T122">
            <v>713000</v>
          </cell>
          <cell r="U122" t="str">
            <v>6611130110001  001800</v>
          </cell>
          <cell r="V122">
            <v>36</v>
          </cell>
          <cell r="W122">
            <v>18000</v>
          </cell>
          <cell r="X122" t="str">
            <v>001980</v>
          </cell>
          <cell r="Y122">
            <v>2106000</v>
          </cell>
          <cell r="Z122">
            <v>36</v>
          </cell>
          <cell r="AA122">
            <v>58500</v>
          </cell>
        </row>
        <row r="123">
          <cell r="B123" t="str">
            <v>2012-596648</v>
          </cell>
          <cell r="C123" t="str">
            <v>001342765100000000</v>
          </cell>
          <cell r="D123" t="str">
            <v>CL 40A BIS S 16A 79E</v>
          </cell>
          <cell r="E123" t="str">
            <v>AAA0006UUPP</v>
          </cell>
          <cell r="F123">
            <v>36</v>
          </cell>
          <cell r="G123">
            <v>58500</v>
          </cell>
          <cell r="H123">
            <v>0</v>
          </cell>
          <cell r="I123" t="str">
            <v>61</v>
          </cell>
          <cell r="J123" t="str">
            <v>-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2106000</v>
          </cell>
          <cell r="P123">
            <v>0</v>
          </cell>
          <cell r="Q123">
            <v>36</v>
          </cell>
          <cell r="R123">
            <v>18000</v>
          </cell>
          <cell r="S123">
            <v>19800</v>
          </cell>
          <cell r="T123">
            <v>713000</v>
          </cell>
          <cell r="U123" t="str">
            <v>6611130110001  001800</v>
          </cell>
          <cell r="V123">
            <v>36</v>
          </cell>
          <cell r="W123">
            <v>18000</v>
          </cell>
          <cell r="X123" t="str">
            <v>001980</v>
          </cell>
          <cell r="Y123">
            <v>2106000</v>
          </cell>
          <cell r="Z123">
            <v>36</v>
          </cell>
          <cell r="AA123">
            <v>58500</v>
          </cell>
        </row>
        <row r="124">
          <cell r="B124" t="str">
            <v>2012-596652</v>
          </cell>
          <cell r="C124" t="str">
            <v>001342765200000000</v>
          </cell>
          <cell r="D124" t="str">
            <v>CL 40A BIS S 16A 83E</v>
          </cell>
          <cell r="E124" t="str">
            <v>AAA0006UURU</v>
          </cell>
          <cell r="F124">
            <v>36</v>
          </cell>
          <cell r="G124">
            <v>58500</v>
          </cell>
          <cell r="H124">
            <v>0</v>
          </cell>
          <cell r="I124" t="str">
            <v>61</v>
          </cell>
          <cell r="J124" t="str">
            <v>-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2106000</v>
          </cell>
          <cell r="P124">
            <v>0</v>
          </cell>
          <cell r="Q124">
            <v>36</v>
          </cell>
          <cell r="R124">
            <v>18000</v>
          </cell>
          <cell r="S124">
            <v>19800</v>
          </cell>
          <cell r="T124">
            <v>713000</v>
          </cell>
          <cell r="U124" t="str">
            <v>6611130110001  001800</v>
          </cell>
          <cell r="V124">
            <v>36</v>
          </cell>
          <cell r="W124">
            <v>18000</v>
          </cell>
          <cell r="X124" t="str">
            <v>001980</v>
          </cell>
          <cell r="Y124">
            <v>2106000</v>
          </cell>
          <cell r="Z124">
            <v>36</v>
          </cell>
          <cell r="AA124">
            <v>58500</v>
          </cell>
        </row>
        <row r="125">
          <cell r="B125" t="str">
            <v>2012-596655</v>
          </cell>
          <cell r="C125" t="str">
            <v>001342765300000000</v>
          </cell>
          <cell r="D125" t="str">
            <v>CL 40A BIS S 16A 87E</v>
          </cell>
          <cell r="E125" t="str">
            <v>AAA0006UUSK</v>
          </cell>
          <cell r="F125">
            <v>36</v>
          </cell>
          <cell r="G125">
            <v>58500</v>
          </cell>
          <cell r="H125">
            <v>0</v>
          </cell>
          <cell r="I125" t="str">
            <v>61</v>
          </cell>
          <cell r="J125" t="str">
            <v>-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2106000</v>
          </cell>
          <cell r="P125">
            <v>0</v>
          </cell>
          <cell r="Q125">
            <v>36</v>
          </cell>
          <cell r="R125">
            <v>18000</v>
          </cell>
          <cell r="S125">
            <v>19800</v>
          </cell>
          <cell r="T125">
            <v>713000</v>
          </cell>
          <cell r="U125" t="str">
            <v>6611130110001  001800</v>
          </cell>
          <cell r="V125">
            <v>36</v>
          </cell>
          <cell r="W125">
            <v>18000</v>
          </cell>
          <cell r="X125" t="str">
            <v>001980</v>
          </cell>
          <cell r="Y125">
            <v>2106000</v>
          </cell>
          <cell r="Z125">
            <v>36</v>
          </cell>
          <cell r="AA125">
            <v>58500</v>
          </cell>
        </row>
        <row r="126">
          <cell r="B126" t="str">
            <v>2012-596696</v>
          </cell>
          <cell r="C126" t="str">
            <v>001342765400000000</v>
          </cell>
          <cell r="D126" t="str">
            <v>KR 17E 40A 57S</v>
          </cell>
          <cell r="E126" t="str">
            <v>AAA0006UUTO</v>
          </cell>
          <cell r="F126">
            <v>36</v>
          </cell>
          <cell r="G126">
            <v>58500</v>
          </cell>
          <cell r="H126">
            <v>0</v>
          </cell>
          <cell r="I126" t="str">
            <v>61</v>
          </cell>
          <cell r="J126" t="str">
            <v>-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2106000</v>
          </cell>
          <cell r="P126">
            <v>0</v>
          </cell>
          <cell r="Q126">
            <v>36</v>
          </cell>
          <cell r="R126">
            <v>18000</v>
          </cell>
          <cell r="S126">
            <v>19800</v>
          </cell>
          <cell r="T126">
            <v>713000</v>
          </cell>
          <cell r="U126" t="str">
            <v>6611130110001  001800</v>
          </cell>
          <cell r="V126">
            <v>36</v>
          </cell>
          <cell r="W126">
            <v>18000</v>
          </cell>
          <cell r="X126" t="str">
            <v>001980</v>
          </cell>
          <cell r="Y126">
            <v>2106000</v>
          </cell>
          <cell r="Z126">
            <v>36</v>
          </cell>
          <cell r="AA126">
            <v>58500</v>
          </cell>
        </row>
        <row r="127">
          <cell r="B127" t="str">
            <v>2012-596700</v>
          </cell>
          <cell r="C127" t="str">
            <v>001342765500000000</v>
          </cell>
          <cell r="D127" t="str">
            <v>KR 17E 40A 61S</v>
          </cell>
          <cell r="E127" t="str">
            <v>AAA0006UUUZ</v>
          </cell>
          <cell r="F127">
            <v>36</v>
          </cell>
          <cell r="G127">
            <v>58500</v>
          </cell>
          <cell r="H127">
            <v>0</v>
          </cell>
          <cell r="I127" t="str">
            <v>61</v>
          </cell>
          <cell r="J127" t="str">
            <v>-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2106000</v>
          </cell>
          <cell r="P127">
            <v>0</v>
          </cell>
          <cell r="Q127">
            <v>36</v>
          </cell>
          <cell r="R127">
            <v>18000</v>
          </cell>
          <cell r="S127">
            <v>19800</v>
          </cell>
          <cell r="T127">
            <v>713000</v>
          </cell>
          <cell r="U127" t="str">
            <v>6611130110001  001800</v>
          </cell>
          <cell r="V127">
            <v>36</v>
          </cell>
          <cell r="W127">
            <v>18000</v>
          </cell>
          <cell r="X127" t="str">
            <v>001980</v>
          </cell>
          <cell r="Y127">
            <v>2106000</v>
          </cell>
          <cell r="Z127">
            <v>36</v>
          </cell>
          <cell r="AA127">
            <v>58500</v>
          </cell>
        </row>
        <row r="128">
          <cell r="B128" t="str">
            <v>2012-596703</v>
          </cell>
          <cell r="C128" t="str">
            <v>001342765600000000</v>
          </cell>
          <cell r="D128" t="str">
            <v>KR 17E 40A 65S</v>
          </cell>
          <cell r="E128" t="str">
            <v>AAA0006UUWF</v>
          </cell>
          <cell r="F128">
            <v>36</v>
          </cell>
          <cell r="G128">
            <v>58500</v>
          </cell>
          <cell r="H128">
            <v>0</v>
          </cell>
          <cell r="I128" t="str">
            <v>61</v>
          </cell>
          <cell r="J128" t="str">
            <v>-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2106000</v>
          </cell>
          <cell r="P128">
            <v>0</v>
          </cell>
          <cell r="Q128">
            <v>36</v>
          </cell>
          <cell r="R128">
            <v>18000</v>
          </cell>
          <cell r="S128">
            <v>19800</v>
          </cell>
          <cell r="T128">
            <v>713000</v>
          </cell>
          <cell r="U128" t="str">
            <v>6611130110001  001800</v>
          </cell>
          <cell r="V128">
            <v>36</v>
          </cell>
          <cell r="W128">
            <v>18000</v>
          </cell>
          <cell r="X128" t="str">
            <v>001980</v>
          </cell>
          <cell r="Y128">
            <v>2106000</v>
          </cell>
          <cell r="Z128">
            <v>36</v>
          </cell>
          <cell r="AA128">
            <v>58500</v>
          </cell>
        </row>
        <row r="129">
          <cell r="B129" t="str">
            <v>2012-596704</v>
          </cell>
          <cell r="C129" t="str">
            <v>001342765700000000</v>
          </cell>
          <cell r="D129" t="str">
            <v>KR 17E 40A 69S</v>
          </cell>
          <cell r="E129" t="str">
            <v>AAA0006UUXR</v>
          </cell>
          <cell r="F129">
            <v>36</v>
          </cell>
          <cell r="G129">
            <v>58500</v>
          </cell>
          <cell r="H129">
            <v>0</v>
          </cell>
          <cell r="I129" t="str">
            <v>61</v>
          </cell>
          <cell r="J129" t="str">
            <v>-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2106000</v>
          </cell>
          <cell r="P129">
            <v>0</v>
          </cell>
          <cell r="Q129">
            <v>36</v>
          </cell>
          <cell r="R129">
            <v>18000</v>
          </cell>
          <cell r="S129">
            <v>19800</v>
          </cell>
          <cell r="T129">
            <v>713000</v>
          </cell>
          <cell r="U129" t="str">
            <v>6611130110001  001800</v>
          </cell>
          <cell r="V129">
            <v>36</v>
          </cell>
          <cell r="W129">
            <v>18000</v>
          </cell>
          <cell r="X129" t="str">
            <v>001980</v>
          </cell>
          <cell r="Y129">
            <v>2106000</v>
          </cell>
          <cell r="Z129">
            <v>36</v>
          </cell>
          <cell r="AA129">
            <v>58500</v>
          </cell>
        </row>
        <row r="130">
          <cell r="B130" t="str">
            <v>2012-596768</v>
          </cell>
          <cell r="C130" t="str">
            <v>001342765800000000</v>
          </cell>
          <cell r="D130" t="str">
            <v>KR 17E 40A 73S</v>
          </cell>
          <cell r="E130" t="str">
            <v>AAA0006UUYX</v>
          </cell>
          <cell r="F130">
            <v>36</v>
          </cell>
          <cell r="G130">
            <v>58500</v>
          </cell>
          <cell r="H130">
            <v>0</v>
          </cell>
          <cell r="I130" t="str">
            <v>61</v>
          </cell>
          <cell r="J130" t="str">
            <v>-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2106000</v>
          </cell>
          <cell r="P130">
            <v>0</v>
          </cell>
          <cell r="Q130">
            <v>36</v>
          </cell>
          <cell r="R130">
            <v>18000</v>
          </cell>
          <cell r="S130">
            <v>19800</v>
          </cell>
          <cell r="T130">
            <v>713000</v>
          </cell>
          <cell r="U130" t="str">
            <v>6611130110001  001800</v>
          </cell>
          <cell r="V130">
            <v>36</v>
          </cell>
          <cell r="W130">
            <v>18000</v>
          </cell>
          <cell r="X130" t="str">
            <v>001980</v>
          </cell>
          <cell r="Y130">
            <v>2106000</v>
          </cell>
          <cell r="Z130">
            <v>36</v>
          </cell>
          <cell r="AA130">
            <v>58500</v>
          </cell>
        </row>
        <row r="131">
          <cell r="B131" t="str">
            <v>2012-596856</v>
          </cell>
          <cell r="C131" t="str">
            <v>001342692500000000</v>
          </cell>
          <cell r="D131" t="str">
            <v>CL 40B BIS S 17A 06E</v>
          </cell>
          <cell r="E131" t="str">
            <v>AAA0006UBDE</v>
          </cell>
          <cell r="F131">
            <v>36</v>
          </cell>
          <cell r="G131">
            <v>58500</v>
          </cell>
          <cell r="H131">
            <v>0</v>
          </cell>
          <cell r="I131" t="str">
            <v>63</v>
          </cell>
          <cell r="J131" t="str">
            <v>-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2106000</v>
          </cell>
          <cell r="P131">
            <v>0</v>
          </cell>
          <cell r="Q131">
            <v>36</v>
          </cell>
          <cell r="R131">
            <v>18000</v>
          </cell>
          <cell r="S131">
            <v>19800</v>
          </cell>
          <cell r="T131">
            <v>713000</v>
          </cell>
          <cell r="U131" t="str">
            <v>6611130110001  001800</v>
          </cell>
          <cell r="V131">
            <v>36</v>
          </cell>
          <cell r="W131">
            <v>18000</v>
          </cell>
          <cell r="X131" t="str">
            <v>001980</v>
          </cell>
          <cell r="Y131">
            <v>2106000</v>
          </cell>
          <cell r="Z131">
            <v>36</v>
          </cell>
          <cell r="AA131">
            <v>58500</v>
          </cell>
        </row>
        <row r="132">
          <cell r="B132" t="str">
            <v>2012-596858</v>
          </cell>
          <cell r="C132" t="str">
            <v>001342692600000000</v>
          </cell>
          <cell r="D132" t="str">
            <v>KR 17A ESTE 40B 48 SUR</v>
          </cell>
          <cell r="E132" t="str">
            <v>AAA0006UBEP</v>
          </cell>
          <cell r="F132">
            <v>36</v>
          </cell>
          <cell r="G132">
            <v>58500</v>
          </cell>
          <cell r="H132">
            <v>0</v>
          </cell>
          <cell r="I132" t="str">
            <v>63</v>
          </cell>
          <cell r="J132" t="str">
            <v>-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2106000</v>
          </cell>
          <cell r="P132">
            <v>0</v>
          </cell>
          <cell r="Q132">
            <v>36</v>
          </cell>
          <cell r="R132">
            <v>18000</v>
          </cell>
          <cell r="S132">
            <v>19800</v>
          </cell>
          <cell r="T132">
            <v>713000</v>
          </cell>
          <cell r="U132" t="str">
            <v>6611130110001  001800</v>
          </cell>
          <cell r="V132">
            <v>36</v>
          </cell>
          <cell r="W132">
            <v>18000</v>
          </cell>
          <cell r="X132" t="str">
            <v>001980</v>
          </cell>
          <cell r="Y132">
            <v>2106000</v>
          </cell>
          <cell r="Z132">
            <v>36</v>
          </cell>
          <cell r="AA132">
            <v>58500</v>
          </cell>
        </row>
        <row r="133">
          <cell r="B133" t="str">
            <v>2012-596867</v>
          </cell>
          <cell r="C133" t="str">
            <v>001342692700000000</v>
          </cell>
          <cell r="D133" t="str">
            <v>KR 17A ESTE 40B 42 SUR</v>
          </cell>
          <cell r="E133" t="str">
            <v>AAA0006UBFZ</v>
          </cell>
          <cell r="F133">
            <v>36</v>
          </cell>
          <cell r="G133">
            <v>58500</v>
          </cell>
          <cell r="H133">
            <v>0</v>
          </cell>
          <cell r="I133" t="str">
            <v>63</v>
          </cell>
          <cell r="J133" t="str">
            <v>-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2106000</v>
          </cell>
          <cell r="P133">
            <v>0</v>
          </cell>
          <cell r="Q133">
            <v>36</v>
          </cell>
          <cell r="R133">
            <v>18000</v>
          </cell>
          <cell r="S133">
            <v>19800</v>
          </cell>
          <cell r="T133">
            <v>713000</v>
          </cell>
          <cell r="U133" t="str">
            <v>6611130110001  001800</v>
          </cell>
          <cell r="V133">
            <v>36</v>
          </cell>
          <cell r="W133">
            <v>18000</v>
          </cell>
          <cell r="X133" t="str">
            <v>001980</v>
          </cell>
          <cell r="Y133">
            <v>2106000</v>
          </cell>
          <cell r="Z133">
            <v>36</v>
          </cell>
          <cell r="AA133">
            <v>58500</v>
          </cell>
        </row>
        <row r="134">
          <cell r="B134" t="str">
            <v>2012-596874</v>
          </cell>
          <cell r="C134" t="str">
            <v>001342692800000000</v>
          </cell>
          <cell r="D134" t="str">
            <v>KR 17A ESTE 40B 36 SUR</v>
          </cell>
          <cell r="E134" t="str">
            <v>AAA0006UBHK</v>
          </cell>
          <cell r="F134">
            <v>36</v>
          </cell>
          <cell r="G134">
            <v>58500</v>
          </cell>
          <cell r="H134">
            <v>0</v>
          </cell>
          <cell r="I134" t="str">
            <v>63</v>
          </cell>
          <cell r="J134" t="str">
            <v>-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2106000</v>
          </cell>
          <cell r="P134">
            <v>0</v>
          </cell>
          <cell r="Q134">
            <v>36</v>
          </cell>
          <cell r="R134">
            <v>18000</v>
          </cell>
          <cell r="S134">
            <v>19800</v>
          </cell>
          <cell r="T134">
            <v>713000</v>
          </cell>
          <cell r="U134" t="str">
            <v>6611130110001  001800</v>
          </cell>
          <cell r="V134">
            <v>36</v>
          </cell>
          <cell r="W134">
            <v>18000</v>
          </cell>
          <cell r="X134" t="str">
            <v>001980</v>
          </cell>
          <cell r="Y134">
            <v>2106000</v>
          </cell>
          <cell r="Z134">
            <v>36</v>
          </cell>
          <cell r="AA134">
            <v>58500</v>
          </cell>
        </row>
        <row r="135">
          <cell r="B135" t="str">
            <v>2012-596919</v>
          </cell>
          <cell r="C135" t="str">
            <v>001342692900000000</v>
          </cell>
          <cell r="D135" t="str">
            <v>KR 17A ESTE 40B 30 SUR</v>
          </cell>
          <cell r="E135" t="str">
            <v>AAA0006UBJZ</v>
          </cell>
          <cell r="F135">
            <v>36</v>
          </cell>
          <cell r="G135">
            <v>58500</v>
          </cell>
          <cell r="H135">
            <v>0</v>
          </cell>
          <cell r="I135" t="str">
            <v>63</v>
          </cell>
          <cell r="J135" t="str">
            <v>-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2106000</v>
          </cell>
          <cell r="P135">
            <v>0</v>
          </cell>
          <cell r="Q135">
            <v>36</v>
          </cell>
          <cell r="R135">
            <v>18000</v>
          </cell>
          <cell r="S135">
            <v>19800</v>
          </cell>
          <cell r="T135">
            <v>713000</v>
          </cell>
          <cell r="U135" t="str">
            <v>6611130110001  001800</v>
          </cell>
          <cell r="V135">
            <v>36</v>
          </cell>
          <cell r="W135">
            <v>18000</v>
          </cell>
          <cell r="X135" t="str">
            <v>001980</v>
          </cell>
          <cell r="Y135">
            <v>2106000</v>
          </cell>
          <cell r="Z135">
            <v>36</v>
          </cell>
          <cell r="AA135">
            <v>58500</v>
          </cell>
        </row>
        <row r="136">
          <cell r="B136" t="str">
            <v>2012-596921</v>
          </cell>
          <cell r="C136" t="str">
            <v>001342693000000000</v>
          </cell>
          <cell r="D136" t="str">
            <v>KR 17A ESTE 40B 24 SUR</v>
          </cell>
          <cell r="E136" t="str">
            <v>AAA0006UBKC</v>
          </cell>
          <cell r="F136">
            <v>36</v>
          </cell>
          <cell r="G136">
            <v>58500</v>
          </cell>
          <cell r="H136">
            <v>0</v>
          </cell>
          <cell r="I136" t="str">
            <v>63</v>
          </cell>
          <cell r="J136" t="str">
            <v>-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2106000</v>
          </cell>
          <cell r="P136">
            <v>0</v>
          </cell>
          <cell r="Q136">
            <v>36</v>
          </cell>
          <cell r="R136">
            <v>18000</v>
          </cell>
          <cell r="S136">
            <v>19800</v>
          </cell>
          <cell r="T136">
            <v>713000</v>
          </cell>
          <cell r="U136" t="str">
            <v>6611130110001  001800</v>
          </cell>
          <cell r="V136">
            <v>36</v>
          </cell>
          <cell r="W136">
            <v>18000</v>
          </cell>
          <cell r="X136" t="str">
            <v>001980</v>
          </cell>
          <cell r="Y136">
            <v>2106000</v>
          </cell>
          <cell r="Z136">
            <v>36</v>
          </cell>
          <cell r="AA136">
            <v>58500</v>
          </cell>
        </row>
        <row r="137">
          <cell r="B137" t="str">
            <v>2012-596923</v>
          </cell>
          <cell r="C137" t="str">
            <v>001342693100000000</v>
          </cell>
          <cell r="D137" t="str">
            <v>KR 17A ESTE 40B 18 SUR</v>
          </cell>
          <cell r="E137" t="str">
            <v>AAA0006UBLF</v>
          </cell>
          <cell r="F137">
            <v>36</v>
          </cell>
          <cell r="G137">
            <v>58500</v>
          </cell>
          <cell r="H137">
            <v>0</v>
          </cell>
          <cell r="I137" t="str">
            <v>63</v>
          </cell>
          <cell r="J137" t="str">
            <v>-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2106000</v>
          </cell>
          <cell r="P137">
            <v>0</v>
          </cell>
          <cell r="Q137">
            <v>36</v>
          </cell>
          <cell r="R137">
            <v>18000</v>
          </cell>
          <cell r="S137">
            <v>19800</v>
          </cell>
          <cell r="T137">
            <v>713000</v>
          </cell>
          <cell r="U137" t="str">
            <v>6611130110001  001800</v>
          </cell>
          <cell r="V137">
            <v>36</v>
          </cell>
          <cell r="W137">
            <v>18000</v>
          </cell>
          <cell r="X137" t="str">
            <v>001980</v>
          </cell>
          <cell r="Y137">
            <v>2106000</v>
          </cell>
          <cell r="Z137">
            <v>36</v>
          </cell>
          <cell r="AA137">
            <v>58500</v>
          </cell>
        </row>
        <row r="138">
          <cell r="B138" t="str">
            <v>2012-596927</v>
          </cell>
          <cell r="C138" t="str">
            <v>001342693200000000</v>
          </cell>
          <cell r="D138" t="str">
            <v>KR 17A ESTE 40B 12 SUR</v>
          </cell>
          <cell r="E138" t="str">
            <v>AAA0006UBMR</v>
          </cell>
          <cell r="F138">
            <v>36</v>
          </cell>
          <cell r="G138">
            <v>58500</v>
          </cell>
          <cell r="H138">
            <v>0</v>
          </cell>
          <cell r="I138" t="str">
            <v>63</v>
          </cell>
          <cell r="J138" t="str">
            <v>-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2106000</v>
          </cell>
          <cell r="P138">
            <v>0</v>
          </cell>
          <cell r="Q138">
            <v>36</v>
          </cell>
          <cell r="R138">
            <v>18000</v>
          </cell>
          <cell r="S138">
            <v>19800</v>
          </cell>
          <cell r="T138">
            <v>713000</v>
          </cell>
          <cell r="U138" t="str">
            <v>6611130110001  001800</v>
          </cell>
          <cell r="V138">
            <v>36</v>
          </cell>
          <cell r="W138">
            <v>18000</v>
          </cell>
          <cell r="X138" t="str">
            <v>001980</v>
          </cell>
          <cell r="Y138">
            <v>2106000</v>
          </cell>
          <cell r="Z138">
            <v>36</v>
          </cell>
          <cell r="AA138">
            <v>58500</v>
          </cell>
        </row>
        <row r="139">
          <cell r="B139" t="str">
            <v>2012-597059</v>
          </cell>
          <cell r="C139" t="str">
            <v>001342693300000000</v>
          </cell>
          <cell r="D139" t="str">
            <v>KR 17A ESTE 40B 06 SUR</v>
          </cell>
          <cell r="E139" t="str">
            <v>AAA0006UBNX</v>
          </cell>
          <cell r="F139">
            <v>36</v>
          </cell>
          <cell r="G139">
            <v>58500</v>
          </cell>
          <cell r="H139">
            <v>0</v>
          </cell>
          <cell r="I139" t="str">
            <v>63</v>
          </cell>
          <cell r="J139" t="str">
            <v>-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2106000</v>
          </cell>
          <cell r="P139">
            <v>0</v>
          </cell>
          <cell r="Q139">
            <v>36</v>
          </cell>
          <cell r="R139">
            <v>18000</v>
          </cell>
          <cell r="S139">
            <v>19800</v>
          </cell>
          <cell r="T139">
            <v>713000</v>
          </cell>
          <cell r="U139" t="str">
            <v>6611130110001  001800</v>
          </cell>
          <cell r="V139">
            <v>36</v>
          </cell>
          <cell r="W139">
            <v>18000</v>
          </cell>
          <cell r="X139" t="str">
            <v>001980</v>
          </cell>
          <cell r="Y139">
            <v>2106000</v>
          </cell>
          <cell r="Z139">
            <v>36</v>
          </cell>
          <cell r="AA139">
            <v>58500</v>
          </cell>
        </row>
        <row r="140">
          <cell r="B140" t="str">
            <v>2012-597061</v>
          </cell>
          <cell r="C140" t="str">
            <v>001342693400000000</v>
          </cell>
          <cell r="D140" t="str">
            <v>CL 40B SUR 17A 05 ESTE</v>
          </cell>
          <cell r="E140" t="str">
            <v>AAA0006UBOM</v>
          </cell>
          <cell r="F140">
            <v>36</v>
          </cell>
          <cell r="G140">
            <v>58500</v>
          </cell>
          <cell r="H140">
            <v>0</v>
          </cell>
          <cell r="I140" t="str">
            <v>63</v>
          </cell>
          <cell r="J140" t="str">
            <v>-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2106000</v>
          </cell>
          <cell r="P140">
            <v>0</v>
          </cell>
          <cell r="Q140">
            <v>36</v>
          </cell>
          <cell r="R140">
            <v>18000</v>
          </cell>
          <cell r="S140">
            <v>19800</v>
          </cell>
          <cell r="T140">
            <v>713000</v>
          </cell>
          <cell r="U140" t="str">
            <v>6611130110001  001800</v>
          </cell>
          <cell r="V140">
            <v>36</v>
          </cell>
          <cell r="W140">
            <v>18000</v>
          </cell>
          <cell r="X140" t="str">
            <v>001980</v>
          </cell>
          <cell r="Y140">
            <v>2106000</v>
          </cell>
          <cell r="Z140">
            <v>36</v>
          </cell>
          <cell r="AA140">
            <v>58500</v>
          </cell>
        </row>
        <row r="141">
          <cell r="B141" t="str">
            <v>2012-597105</v>
          </cell>
          <cell r="C141" t="str">
            <v>001342693500000000</v>
          </cell>
          <cell r="D141" t="str">
            <v>CL 40B SUR 17A 07 ESTE</v>
          </cell>
          <cell r="E141" t="str">
            <v>AAA0006UBPA</v>
          </cell>
          <cell r="F141">
            <v>36</v>
          </cell>
          <cell r="G141">
            <v>58500</v>
          </cell>
          <cell r="H141">
            <v>0</v>
          </cell>
          <cell r="I141" t="str">
            <v>63</v>
          </cell>
          <cell r="J141" t="str">
            <v>-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2106000</v>
          </cell>
          <cell r="P141">
            <v>0</v>
          </cell>
          <cell r="Q141">
            <v>36</v>
          </cell>
          <cell r="R141">
            <v>18000</v>
          </cell>
          <cell r="S141">
            <v>19800</v>
          </cell>
          <cell r="T141">
            <v>713000</v>
          </cell>
          <cell r="U141" t="str">
            <v>6611130110001  001800</v>
          </cell>
          <cell r="V141">
            <v>36</v>
          </cell>
          <cell r="W141">
            <v>18000</v>
          </cell>
          <cell r="X141" t="str">
            <v>001980</v>
          </cell>
          <cell r="Y141">
            <v>2106000</v>
          </cell>
          <cell r="Z141">
            <v>36</v>
          </cell>
          <cell r="AA141">
            <v>58500</v>
          </cell>
        </row>
        <row r="142">
          <cell r="B142" t="str">
            <v>2012-597110</v>
          </cell>
          <cell r="C142" t="str">
            <v>001342693600000000</v>
          </cell>
          <cell r="D142" t="str">
            <v>CL 40B SUR 17A 11 ESTE</v>
          </cell>
          <cell r="E142" t="str">
            <v>AAA0006UBRJ</v>
          </cell>
          <cell r="F142">
            <v>36</v>
          </cell>
          <cell r="G142">
            <v>58500</v>
          </cell>
          <cell r="H142">
            <v>0</v>
          </cell>
          <cell r="I142" t="str">
            <v>63</v>
          </cell>
          <cell r="J142" t="str">
            <v>-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2106000</v>
          </cell>
          <cell r="P142">
            <v>0</v>
          </cell>
          <cell r="Q142">
            <v>36</v>
          </cell>
          <cell r="R142">
            <v>18000</v>
          </cell>
          <cell r="S142">
            <v>19800</v>
          </cell>
          <cell r="T142">
            <v>713000</v>
          </cell>
          <cell r="U142" t="str">
            <v>6611130110001  001800</v>
          </cell>
          <cell r="V142">
            <v>36</v>
          </cell>
          <cell r="W142">
            <v>18000</v>
          </cell>
          <cell r="X142" t="str">
            <v>001980</v>
          </cell>
          <cell r="Y142">
            <v>2106000</v>
          </cell>
          <cell r="Z142">
            <v>36</v>
          </cell>
          <cell r="AA142">
            <v>58500</v>
          </cell>
        </row>
        <row r="143">
          <cell r="B143" t="str">
            <v>2012-597175</v>
          </cell>
          <cell r="C143" t="str">
            <v>001342693700000000</v>
          </cell>
          <cell r="D143" t="str">
            <v>CL 40B SUR 17A 15 ESTE</v>
          </cell>
          <cell r="E143" t="str">
            <v>AAA0006UBSY</v>
          </cell>
          <cell r="F143">
            <v>36</v>
          </cell>
          <cell r="G143">
            <v>58500</v>
          </cell>
          <cell r="H143">
            <v>0</v>
          </cell>
          <cell r="I143" t="str">
            <v>63</v>
          </cell>
          <cell r="J143" t="str">
            <v>-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2106000</v>
          </cell>
          <cell r="P143">
            <v>0</v>
          </cell>
          <cell r="Q143">
            <v>36</v>
          </cell>
          <cell r="R143">
            <v>18000</v>
          </cell>
          <cell r="S143">
            <v>19800</v>
          </cell>
          <cell r="T143">
            <v>713000</v>
          </cell>
          <cell r="U143" t="str">
            <v>6611130110001  001800</v>
          </cell>
          <cell r="V143">
            <v>36</v>
          </cell>
          <cell r="W143">
            <v>18000</v>
          </cell>
          <cell r="X143" t="str">
            <v>001980</v>
          </cell>
          <cell r="Y143">
            <v>2106000</v>
          </cell>
          <cell r="Z143">
            <v>36</v>
          </cell>
          <cell r="AA143">
            <v>58500</v>
          </cell>
        </row>
        <row r="144">
          <cell r="B144" t="str">
            <v>2012-597179</v>
          </cell>
          <cell r="C144" t="str">
            <v>001342693800000000</v>
          </cell>
          <cell r="D144" t="str">
            <v>CL 40B SUR 17A 19 ESTE</v>
          </cell>
          <cell r="E144" t="str">
            <v>AAA0006UBTD</v>
          </cell>
          <cell r="F144">
            <v>36</v>
          </cell>
          <cell r="G144">
            <v>58500</v>
          </cell>
          <cell r="H144">
            <v>0</v>
          </cell>
          <cell r="I144" t="str">
            <v>63</v>
          </cell>
          <cell r="J144" t="str">
            <v>-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2106000</v>
          </cell>
          <cell r="P144">
            <v>0</v>
          </cell>
          <cell r="Q144">
            <v>36</v>
          </cell>
          <cell r="R144">
            <v>18000</v>
          </cell>
          <cell r="S144">
            <v>19800</v>
          </cell>
          <cell r="T144">
            <v>713000</v>
          </cell>
          <cell r="U144" t="str">
            <v>6611130110001  001800</v>
          </cell>
          <cell r="V144">
            <v>36</v>
          </cell>
          <cell r="W144">
            <v>18000</v>
          </cell>
          <cell r="X144" t="str">
            <v>001980</v>
          </cell>
          <cell r="Y144">
            <v>2106000</v>
          </cell>
          <cell r="Z144">
            <v>36</v>
          </cell>
          <cell r="AA144">
            <v>58500</v>
          </cell>
        </row>
        <row r="145">
          <cell r="B145" t="str">
            <v>2012-597308</v>
          </cell>
          <cell r="C145" t="str">
            <v>001342693900000000</v>
          </cell>
          <cell r="D145" t="str">
            <v>CL 40B SUR 17A 23 ESTE</v>
          </cell>
          <cell r="E145" t="str">
            <v>AAA0006UBUH</v>
          </cell>
          <cell r="F145">
            <v>36</v>
          </cell>
          <cell r="G145">
            <v>58500</v>
          </cell>
          <cell r="H145">
            <v>0</v>
          </cell>
          <cell r="I145" t="str">
            <v>63</v>
          </cell>
          <cell r="J145" t="str">
            <v>-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2106000</v>
          </cell>
          <cell r="P145">
            <v>0</v>
          </cell>
          <cell r="Q145">
            <v>36</v>
          </cell>
          <cell r="R145">
            <v>18000</v>
          </cell>
          <cell r="S145">
            <v>19800</v>
          </cell>
          <cell r="T145">
            <v>713000</v>
          </cell>
          <cell r="U145" t="str">
            <v>6611130110001  001800</v>
          </cell>
          <cell r="V145">
            <v>36</v>
          </cell>
          <cell r="W145">
            <v>18000</v>
          </cell>
          <cell r="X145" t="str">
            <v>001980</v>
          </cell>
          <cell r="Y145">
            <v>2106000</v>
          </cell>
          <cell r="Z145">
            <v>36</v>
          </cell>
          <cell r="AA145">
            <v>58500</v>
          </cell>
        </row>
        <row r="146">
          <cell r="B146" t="str">
            <v>2012-597313</v>
          </cell>
          <cell r="C146" t="str">
            <v>001342694000000000</v>
          </cell>
          <cell r="D146" t="str">
            <v>CL 40B SUR 17A 27 ESTE</v>
          </cell>
          <cell r="E146" t="str">
            <v>AAA0006UBWW</v>
          </cell>
          <cell r="F146">
            <v>36</v>
          </cell>
          <cell r="G146">
            <v>58500</v>
          </cell>
          <cell r="H146">
            <v>0</v>
          </cell>
          <cell r="I146" t="str">
            <v>63</v>
          </cell>
          <cell r="J146" t="str">
            <v>-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2106000</v>
          </cell>
          <cell r="P146">
            <v>0</v>
          </cell>
          <cell r="Q146">
            <v>36</v>
          </cell>
          <cell r="R146">
            <v>18000</v>
          </cell>
          <cell r="S146">
            <v>19800</v>
          </cell>
          <cell r="T146">
            <v>713000</v>
          </cell>
          <cell r="U146" t="str">
            <v>6611130110001  001800</v>
          </cell>
          <cell r="V146">
            <v>36</v>
          </cell>
          <cell r="W146">
            <v>18000</v>
          </cell>
          <cell r="X146" t="str">
            <v>001980</v>
          </cell>
          <cell r="Y146">
            <v>2106000</v>
          </cell>
          <cell r="Z146">
            <v>36</v>
          </cell>
          <cell r="AA146">
            <v>58500</v>
          </cell>
        </row>
        <row r="147">
          <cell r="B147" t="str">
            <v>2012-597381</v>
          </cell>
          <cell r="C147" t="str">
            <v>001342694100000000</v>
          </cell>
          <cell r="D147" t="str">
            <v>CL 40B SUR 17A 31 ESTE</v>
          </cell>
          <cell r="E147" t="str">
            <v>AAA0006UBXS</v>
          </cell>
          <cell r="F147">
            <v>36</v>
          </cell>
          <cell r="G147">
            <v>58500</v>
          </cell>
          <cell r="H147">
            <v>0</v>
          </cell>
          <cell r="I147" t="str">
            <v>63</v>
          </cell>
          <cell r="J147" t="str">
            <v>-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2106000</v>
          </cell>
          <cell r="P147">
            <v>0</v>
          </cell>
          <cell r="Q147">
            <v>36</v>
          </cell>
          <cell r="R147">
            <v>18000</v>
          </cell>
          <cell r="S147">
            <v>19800</v>
          </cell>
          <cell r="T147">
            <v>713000</v>
          </cell>
          <cell r="U147" t="str">
            <v>6611130110001  001800</v>
          </cell>
          <cell r="V147">
            <v>36</v>
          </cell>
          <cell r="W147">
            <v>18000</v>
          </cell>
          <cell r="X147" t="str">
            <v>001980</v>
          </cell>
          <cell r="Y147">
            <v>2106000</v>
          </cell>
          <cell r="Z147">
            <v>36</v>
          </cell>
          <cell r="AA147">
            <v>58500</v>
          </cell>
        </row>
        <row r="148">
          <cell r="B148" t="str">
            <v>2012-600375</v>
          </cell>
          <cell r="C148" t="str">
            <v>001342694800000000</v>
          </cell>
          <cell r="D148" t="str">
            <v>CL 40B SUR 17A 59 ESTE</v>
          </cell>
          <cell r="E148" t="str">
            <v>AAA0006UCEA</v>
          </cell>
          <cell r="F148">
            <v>36</v>
          </cell>
          <cell r="G148">
            <v>58500</v>
          </cell>
          <cell r="H148">
            <v>0</v>
          </cell>
          <cell r="I148" t="str">
            <v>63</v>
          </cell>
          <cell r="J148" t="str">
            <v>-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2106000</v>
          </cell>
          <cell r="P148">
            <v>0</v>
          </cell>
          <cell r="Q148">
            <v>36</v>
          </cell>
          <cell r="R148">
            <v>18000</v>
          </cell>
          <cell r="S148">
            <v>19800</v>
          </cell>
          <cell r="T148">
            <v>713000</v>
          </cell>
          <cell r="U148" t="str">
            <v>6611130110001  001800</v>
          </cell>
          <cell r="V148">
            <v>36</v>
          </cell>
          <cell r="W148">
            <v>18000</v>
          </cell>
          <cell r="X148" t="str">
            <v>001980</v>
          </cell>
          <cell r="Y148">
            <v>2106000</v>
          </cell>
          <cell r="Z148">
            <v>36</v>
          </cell>
          <cell r="AA148">
            <v>58500</v>
          </cell>
        </row>
        <row r="149">
          <cell r="B149" t="str">
            <v>2012-600417</v>
          </cell>
          <cell r="C149" t="str">
            <v>001342694900000000</v>
          </cell>
          <cell r="D149" t="str">
            <v>CL 40B SUR 17A 63 ESTE</v>
          </cell>
          <cell r="E149" t="str">
            <v>AAA0006UCFT</v>
          </cell>
          <cell r="F149">
            <v>36</v>
          </cell>
          <cell r="G149">
            <v>58500</v>
          </cell>
          <cell r="H149">
            <v>0</v>
          </cell>
          <cell r="I149" t="str">
            <v>63</v>
          </cell>
          <cell r="J149" t="str">
            <v>-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2106000</v>
          </cell>
          <cell r="P149">
            <v>0</v>
          </cell>
          <cell r="Q149">
            <v>36</v>
          </cell>
          <cell r="R149">
            <v>18000</v>
          </cell>
          <cell r="S149">
            <v>19800</v>
          </cell>
          <cell r="T149">
            <v>713000</v>
          </cell>
          <cell r="U149" t="str">
            <v>6611130110001  001800</v>
          </cell>
          <cell r="V149">
            <v>36</v>
          </cell>
          <cell r="W149">
            <v>18000</v>
          </cell>
          <cell r="X149" t="str">
            <v>001980</v>
          </cell>
          <cell r="Y149">
            <v>2106000</v>
          </cell>
          <cell r="Z149">
            <v>36</v>
          </cell>
          <cell r="AA149">
            <v>58500</v>
          </cell>
        </row>
        <row r="150">
          <cell r="B150" t="str">
            <v>2012-600423</v>
          </cell>
          <cell r="C150" t="str">
            <v>001342695000000000</v>
          </cell>
          <cell r="D150" t="str">
            <v>CL 40B SUR 17A 67 ESTE</v>
          </cell>
          <cell r="E150" t="str">
            <v>AAA0006UCHY</v>
          </cell>
          <cell r="F150">
            <v>36</v>
          </cell>
          <cell r="G150">
            <v>58500</v>
          </cell>
          <cell r="H150">
            <v>0</v>
          </cell>
          <cell r="I150" t="str">
            <v>63</v>
          </cell>
          <cell r="J150" t="str">
            <v>-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2106000</v>
          </cell>
          <cell r="P150">
            <v>0</v>
          </cell>
          <cell r="Q150">
            <v>36</v>
          </cell>
          <cell r="R150">
            <v>18000</v>
          </cell>
          <cell r="S150">
            <v>19800</v>
          </cell>
          <cell r="T150">
            <v>713000</v>
          </cell>
          <cell r="U150" t="str">
            <v>6611130110001  001800</v>
          </cell>
          <cell r="V150">
            <v>36</v>
          </cell>
          <cell r="W150">
            <v>18000</v>
          </cell>
          <cell r="X150" t="str">
            <v>001980</v>
          </cell>
          <cell r="Y150">
            <v>2106000</v>
          </cell>
          <cell r="Z150">
            <v>36</v>
          </cell>
          <cell r="AA150">
            <v>58500</v>
          </cell>
        </row>
        <row r="151">
          <cell r="B151" t="str">
            <v>2012-600426</v>
          </cell>
          <cell r="C151" t="str">
            <v>001342695100000000</v>
          </cell>
          <cell r="D151" t="str">
            <v>CL 40B SUR 17A 71 ESTE</v>
          </cell>
          <cell r="E151" t="str">
            <v>AAA0006UCJH</v>
          </cell>
          <cell r="F151">
            <v>36</v>
          </cell>
          <cell r="G151">
            <v>58500</v>
          </cell>
          <cell r="H151">
            <v>0</v>
          </cell>
          <cell r="I151" t="str">
            <v>63</v>
          </cell>
          <cell r="J151" t="str">
            <v>-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2106000</v>
          </cell>
          <cell r="P151">
            <v>0</v>
          </cell>
          <cell r="Q151">
            <v>36</v>
          </cell>
          <cell r="R151">
            <v>18000</v>
          </cell>
          <cell r="S151">
            <v>19800</v>
          </cell>
          <cell r="T151">
            <v>713000</v>
          </cell>
          <cell r="U151" t="str">
            <v>6611130110001  001800</v>
          </cell>
          <cell r="V151">
            <v>36</v>
          </cell>
          <cell r="W151">
            <v>18000</v>
          </cell>
          <cell r="X151" t="str">
            <v>001980</v>
          </cell>
          <cell r="Y151">
            <v>2106000</v>
          </cell>
          <cell r="Z151">
            <v>36</v>
          </cell>
          <cell r="AA151">
            <v>58500</v>
          </cell>
        </row>
        <row r="152">
          <cell r="B152" t="str">
            <v>2012-600489</v>
          </cell>
          <cell r="C152" t="str">
            <v>001342695200000000</v>
          </cell>
          <cell r="D152" t="str">
            <v>CL 40B SUR 17A 75 ESTE</v>
          </cell>
          <cell r="E152" t="str">
            <v>AAA0006UCKL</v>
          </cell>
          <cell r="F152">
            <v>36</v>
          </cell>
          <cell r="G152">
            <v>58500</v>
          </cell>
          <cell r="H152">
            <v>0</v>
          </cell>
          <cell r="I152" t="str">
            <v>63</v>
          </cell>
          <cell r="J152" t="str">
            <v>-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2106000</v>
          </cell>
          <cell r="P152">
            <v>0</v>
          </cell>
          <cell r="Q152">
            <v>36</v>
          </cell>
          <cell r="R152">
            <v>18000</v>
          </cell>
          <cell r="S152">
            <v>19800</v>
          </cell>
          <cell r="T152">
            <v>713000</v>
          </cell>
          <cell r="U152" t="str">
            <v>6611130110001  001800</v>
          </cell>
          <cell r="V152">
            <v>36</v>
          </cell>
          <cell r="W152">
            <v>18000</v>
          </cell>
          <cell r="X152" t="str">
            <v>001980</v>
          </cell>
          <cell r="Y152">
            <v>2106000</v>
          </cell>
          <cell r="Z152">
            <v>36</v>
          </cell>
          <cell r="AA152">
            <v>58500</v>
          </cell>
        </row>
        <row r="153">
          <cell r="B153" t="str">
            <v>2012-600493</v>
          </cell>
          <cell r="C153" t="str">
            <v>001342695300000000</v>
          </cell>
          <cell r="D153" t="str">
            <v>CL 40B SUR 17A 79 ESTE</v>
          </cell>
          <cell r="E153" t="str">
            <v>AAA0006UCLW</v>
          </cell>
          <cell r="F153">
            <v>36</v>
          </cell>
          <cell r="G153">
            <v>58500</v>
          </cell>
          <cell r="H153">
            <v>0</v>
          </cell>
          <cell r="I153" t="str">
            <v>63</v>
          </cell>
          <cell r="J153" t="str">
            <v>-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2106000</v>
          </cell>
          <cell r="P153">
            <v>0</v>
          </cell>
          <cell r="Q153">
            <v>36</v>
          </cell>
          <cell r="R153">
            <v>18000</v>
          </cell>
          <cell r="S153">
            <v>19800</v>
          </cell>
          <cell r="T153">
            <v>713000</v>
          </cell>
          <cell r="U153" t="str">
            <v>6611130110001  001800</v>
          </cell>
          <cell r="V153">
            <v>36</v>
          </cell>
          <cell r="W153">
            <v>18000</v>
          </cell>
          <cell r="X153" t="str">
            <v>001980</v>
          </cell>
          <cell r="Y153">
            <v>2106000</v>
          </cell>
          <cell r="Z153">
            <v>36</v>
          </cell>
          <cell r="AA153">
            <v>58500</v>
          </cell>
        </row>
        <row r="154">
          <cell r="B154" t="str">
            <v>2012-600494</v>
          </cell>
          <cell r="C154" t="str">
            <v>001342695400000000</v>
          </cell>
          <cell r="D154" t="str">
            <v>CL 40B SUR 17A 83 ESTE</v>
          </cell>
          <cell r="E154" t="str">
            <v>AAA0006UCMS</v>
          </cell>
          <cell r="F154">
            <v>36</v>
          </cell>
          <cell r="G154">
            <v>58500</v>
          </cell>
          <cell r="H154">
            <v>0</v>
          </cell>
          <cell r="I154" t="str">
            <v>63</v>
          </cell>
          <cell r="J154" t="str">
            <v>-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2106000</v>
          </cell>
          <cell r="P154">
            <v>0</v>
          </cell>
          <cell r="Q154">
            <v>36</v>
          </cell>
          <cell r="R154">
            <v>18000</v>
          </cell>
          <cell r="S154">
            <v>19800</v>
          </cell>
          <cell r="T154">
            <v>713000</v>
          </cell>
          <cell r="U154" t="str">
            <v>6611130110001  001800</v>
          </cell>
          <cell r="V154">
            <v>36</v>
          </cell>
          <cell r="W154">
            <v>18000</v>
          </cell>
          <cell r="X154" t="str">
            <v>001980</v>
          </cell>
          <cell r="Y154">
            <v>2106000</v>
          </cell>
          <cell r="Z154">
            <v>36</v>
          </cell>
          <cell r="AA154">
            <v>58500</v>
          </cell>
        </row>
        <row r="155">
          <cell r="B155" t="str">
            <v>2012-600538</v>
          </cell>
          <cell r="C155" t="str">
            <v>001342695500000000</v>
          </cell>
          <cell r="D155" t="str">
            <v>CL 40B SUR 17A 87 ESTE</v>
          </cell>
          <cell r="E155" t="str">
            <v>AAA0006UCNN</v>
          </cell>
          <cell r="F155">
            <v>36</v>
          </cell>
          <cell r="G155">
            <v>58500</v>
          </cell>
          <cell r="H155">
            <v>0</v>
          </cell>
          <cell r="I155" t="str">
            <v>63</v>
          </cell>
          <cell r="J155" t="str">
            <v>-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2106000</v>
          </cell>
          <cell r="P155">
            <v>0</v>
          </cell>
          <cell r="Q155">
            <v>36</v>
          </cell>
          <cell r="R155">
            <v>18000</v>
          </cell>
          <cell r="S155">
            <v>19800</v>
          </cell>
          <cell r="T155">
            <v>713000</v>
          </cell>
          <cell r="U155" t="str">
            <v>6611130110001  001800</v>
          </cell>
          <cell r="V155">
            <v>36</v>
          </cell>
          <cell r="W155">
            <v>18000</v>
          </cell>
          <cell r="X155" t="str">
            <v>001980</v>
          </cell>
          <cell r="Y155">
            <v>2106000</v>
          </cell>
          <cell r="Z155">
            <v>36</v>
          </cell>
          <cell r="AA155">
            <v>58500</v>
          </cell>
        </row>
        <row r="156">
          <cell r="B156" t="str">
            <v>2012-600539</v>
          </cell>
          <cell r="C156" t="str">
            <v>001342695600000000</v>
          </cell>
          <cell r="D156" t="str">
            <v>CL 40B SUR 17A 91 ESTE</v>
          </cell>
          <cell r="E156" t="str">
            <v>AAA0006UCOE</v>
          </cell>
          <cell r="F156">
            <v>36</v>
          </cell>
          <cell r="G156">
            <v>58500</v>
          </cell>
          <cell r="H156">
            <v>0</v>
          </cell>
          <cell r="I156" t="str">
            <v>63</v>
          </cell>
          <cell r="J156" t="str">
            <v>-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2106000</v>
          </cell>
          <cell r="P156">
            <v>0</v>
          </cell>
          <cell r="Q156">
            <v>36</v>
          </cell>
          <cell r="R156">
            <v>18000</v>
          </cell>
          <cell r="S156">
            <v>19800</v>
          </cell>
          <cell r="T156">
            <v>713000</v>
          </cell>
          <cell r="U156" t="str">
            <v>6611130110001  001800</v>
          </cell>
          <cell r="V156">
            <v>36</v>
          </cell>
          <cell r="W156">
            <v>18000</v>
          </cell>
          <cell r="X156" t="str">
            <v>001980</v>
          </cell>
          <cell r="Y156">
            <v>2106000</v>
          </cell>
          <cell r="Z156">
            <v>36</v>
          </cell>
          <cell r="AA156">
            <v>58500</v>
          </cell>
        </row>
        <row r="157">
          <cell r="B157" t="str">
            <v>2012-600543</v>
          </cell>
          <cell r="C157" t="str">
            <v>001342695700000000</v>
          </cell>
          <cell r="D157" t="str">
            <v>CL 40B SUR 17A 93 ESTE</v>
          </cell>
          <cell r="E157" t="str">
            <v>AAA0006UCPP</v>
          </cell>
          <cell r="F157">
            <v>36</v>
          </cell>
          <cell r="G157">
            <v>58500</v>
          </cell>
          <cell r="H157">
            <v>0</v>
          </cell>
          <cell r="I157" t="str">
            <v>63</v>
          </cell>
          <cell r="J157" t="str">
            <v>-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2106000</v>
          </cell>
          <cell r="P157">
            <v>0</v>
          </cell>
          <cell r="Q157">
            <v>36</v>
          </cell>
          <cell r="R157">
            <v>18000</v>
          </cell>
          <cell r="S157">
            <v>19800</v>
          </cell>
          <cell r="T157">
            <v>713000</v>
          </cell>
          <cell r="U157" t="str">
            <v>6611130110001  001800</v>
          </cell>
          <cell r="V157">
            <v>36</v>
          </cell>
          <cell r="W157">
            <v>18000</v>
          </cell>
          <cell r="X157" t="str">
            <v>001980</v>
          </cell>
          <cell r="Y157">
            <v>2106000</v>
          </cell>
          <cell r="Z157">
            <v>36</v>
          </cell>
          <cell r="AA157">
            <v>58500</v>
          </cell>
        </row>
        <row r="158">
          <cell r="B158" t="str">
            <v>2012-600547</v>
          </cell>
          <cell r="C158" t="str">
            <v>001342695800000000</v>
          </cell>
          <cell r="D158" t="str">
            <v>KR 18E 40B 07S</v>
          </cell>
          <cell r="E158" t="str">
            <v>AAA0006UCRU</v>
          </cell>
          <cell r="F158">
            <v>40.5</v>
          </cell>
          <cell r="G158">
            <v>58500</v>
          </cell>
          <cell r="H158">
            <v>0</v>
          </cell>
          <cell r="I158" t="str">
            <v>63</v>
          </cell>
          <cell r="J158" t="str">
            <v>-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2369000</v>
          </cell>
          <cell r="P158">
            <v>0</v>
          </cell>
          <cell r="Q158">
            <v>40.5</v>
          </cell>
          <cell r="R158">
            <v>18000</v>
          </cell>
          <cell r="S158">
            <v>19800</v>
          </cell>
          <cell r="T158">
            <v>802000</v>
          </cell>
          <cell r="U158" t="str">
            <v>6611130110001  001800</v>
          </cell>
          <cell r="V158">
            <v>40.5</v>
          </cell>
          <cell r="W158">
            <v>18000</v>
          </cell>
          <cell r="X158" t="str">
            <v>001980</v>
          </cell>
          <cell r="Y158">
            <v>2369000</v>
          </cell>
          <cell r="Z158">
            <v>40.5</v>
          </cell>
          <cell r="AA158">
            <v>58500</v>
          </cell>
        </row>
        <row r="159">
          <cell r="B159" t="str">
            <v>2012-600548</v>
          </cell>
          <cell r="C159" t="str">
            <v>001342695900000000</v>
          </cell>
          <cell r="D159" t="str">
            <v>KR 18E 40B 11S</v>
          </cell>
          <cell r="E159" t="str">
            <v>AAA0006UCSK</v>
          </cell>
          <cell r="F159">
            <v>40.5</v>
          </cell>
          <cell r="G159">
            <v>58500</v>
          </cell>
          <cell r="H159">
            <v>0</v>
          </cell>
          <cell r="I159" t="str">
            <v>63</v>
          </cell>
          <cell r="J159" t="str">
            <v>-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2369000</v>
          </cell>
          <cell r="P159">
            <v>0</v>
          </cell>
          <cell r="Q159">
            <v>40.5</v>
          </cell>
          <cell r="R159">
            <v>18000</v>
          </cell>
          <cell r="S159">
            <v>19800</v>
          </cell>
          <cell r="T159">
            <v>802000</v>
          </cell>
          <cell r="U159" t="str">
            <v>6611130110001  001800</v>
          </cell>
          <cell r="V159">
            <v>40.5</v>
          </cell>
          <cell r="W159">
            <v>18000</v>
          </cell>
          <cell r="X159" t="str">
            <v>001980</v>
          </cell>
          <cell r="Y159">
            <v>2369000</v>
          </cell>
          <cell r="Z159">
            <v>40.5</v>
          </cell>
          <cell r="AA159">
            <v>58500</v>
          </cell>
        </row>
        <row r="160">
          <cell r="B160" t="str">
            <v>2012-600550</v>
          </cell>
          <cell r="C160" t="str">
            <v>001342696000000000</v>
          </cell>
          <cell r="D160" t="str">
            <v>KR 18E 40B 17S</v>
          </cell>
          <cell r="E160" t="str">
            <v>AAA0006UCTO</v>
          </cell>
          <cell r="F160">
            <v>40.5</v>
          </cell>
          <cell r="G160">
            <v>58500</v>
          </cell>
          <cell r="H160">
            <v>0</v>
          </cell>
          <cell r="I160" t="str">
            <v>63</v>
          </cell>
          <cell r="J160" t="str">
            <v>-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2369000</v>
          </cell>
          <cell r="P160">
            <v>0</v>
          </cell>
          <cell r="Q160">
            <v>40.5</v>
          </cell>
          <cell r="R160">
            <v>18000</v>
          </cell>
          <cell r="S160">
            <v>19800</v>
          </cell>
          <cell r="T160">
            <v>802000</v>
          </cell>
          <cell r="U160" t="str">
            <v>6611130110001  001800</v>
          </cell>
          <cell r="V160">
            <v>40.5</v>
          </cell>
          <cell r="W160">
            <v>18000</v>
          </cell>
          <cell r="X160" t="str">
            <v>001980</v>
          </cell>
          <cell r="Y160">
            <v>2369000</v>
          </cell>
          <cell r="Z160">
            <v>40.5</v>
          </cell>
          <cell r="AA160">
            <v>58500</v>
          </cell>
        </row>
        <row r="161">
          <cell r="B161" t="str">
            <v>2012-600552</v>
          </cell>
          <cell r="C161" t="str">
            <v>001342696100000000</v>
          </cell>
          <cell r="D161" t="str">
            <v>KR 18E 40B 23S</v>
          </cell>
          <cell r="E161" t="str">
            <v>AAA0006UCUZ</v>
          </cell>
          <cell r="F161">
            <v>40.5</v>
          </cell>
          <cell r="G161">
            <v>58500</v>
          </cell>
          <cell r="H161">
            <v>0</v>
          </cell>
          <cell r="I161" t="str">
            <v>63</v>
          </cell>
          <cell r="J161" t="str">
            <v>-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2369000</v>
          </cell>
          <cell r="P161">
            <v>0</v>
          </cell>
          <cell r="Q161">
            <v>40.5</v>
          </cell>
          <cell r="R161">
            <v>18000</v>
          </cell>
          <cell r="S161">
            <v>19800</v>
          </cell>
          <cell r="T161">
            <v>802000</v>
          </cell>
          <cell r="U161" t="str">
            <v>6611130110001  001800</v>
          </cell>
          <cell r="V161">
            <v>40.5</v>
          </cell>
          <cell r="W161">
            <v>18000</v>
          </cell>
          <cell r="X161" t="str">
            <v>001980</v>
          </cell>
          <cell r="Y161">
            <v>2369000</v>
          </cell>
          <cell r="Z161">
            <v>40.5</v>
          </cell>
          <cell r="AA161">
            <v>58500</v>
          </cell>
        </row>
        <row r="162">
          <cell r="B162" t="str">
            <v>2012-600555</v>
          </cell>
          <cell r="C162" t="str">
            <v>001342696200000000</v>
          </cell>
          <cell r="D162" t="str">
            <v>KR 18E 40B 29S</v>
          </cell>
          <cell r="E162" t="str">
            <v>AAA0006UCWF</v>
          </cell>
          <cell r="F162">
            <v>40.5</v>
          </cell>
          <cell r="G162">
            <v>58500</v>
          </cell>
          <cell r="H162">
            <v>0</v>
          </cell>
          <cell r="I162" t="str">
            <v>63</v>
          </cell>
          <cell r="J162" t="str">
            <v>-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2369000</v>
          </cell>
          <cell r="P162">
            <v>0</v>
          </cell>
          <cell r="Q162">
            <v>40.5</v>
          </cell>
          <cell r="R162">
            <v>18000</v>
          </cell>
          <cell r="S162">
            <v>19800</v>
          </cell>
          <cell r="T162">
            <v>802000</v>
          </cell>
          <cell r="U162" t="str">
            <v>6611130110001  001800</v>
          </cell>
          <cell r="V162">
            <v>40.5</v>
          </cell>
          <cell r="W162">
            <v>18000</v>
          </cell>
          <cell r="X162" t="str">
            <v>001980</v>
          </cell>
          <cell r="Y162">
            <v>2369000</v>
          </cell>
          <cell r="Z162">
            <v>40.5</v>
          </cell>
          <cell r="AA162">
            <v>58500</v>
          </cell>
        </row>
        <row r="163">
          <cell r="B163" t="str">
            <v>2012-600637</v>
          </cell>
          <cell r="C163" t="str">
            <v>001342696300000000</v>
          </cell>
          <cell r="D163" t="str">
            <v>KR 18E 40B 35S</v>
          </cell>
          <cell r="E163" t="str">
            <v>AAA0006UCXR</v>
          </cell>
          <cell r="F163">
            <v>40.5</v>
          </cell>
          <cell r="G163">
            <v>58500</v>
          </cell>
          <cell r="H163">
            <v>0</v>
          </cell>
          <cell r="I163" t="str">
            <v>63</v>
          </cell>
          <cell r="J163" t="str">
            <v>-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2369000</v>
          </cell>
          <cell r="P163">
            <v>0</v>
          </cell>
          <cell r="Q163">
            <v>40.5</v>
          </cell>
          <cell r="R163">
            <v>18000</v>
          </cell>
          <cell r="S163">
            <v>19800</v>
          </cell>
          <cell r="T163">
            <v>802000</v>
          </cell>
          <cell r="U163" t="str">
            <v>6611130110001  001800</v>
          </cell>
          <cell r="V163">
            <v>40.5</v>
          </cell>
          <cell r="W163">
            <v>18000</v>
          </cell>
          <cell r="X163" t="str">
            <v>001980</v>
          </cell>
          <cell r="Y163">
            <v>2369000</v>
          </cell>
          <cell r="Z163">
            <v>40.5</v>
          </cell>
          <cell r="AA163">
            <v>58500</v>
          </cell>
        </row>
        <row r="164">
          <cell r="B164" t="str">
            <v>2012-600639</v>
          </cell>
          <cell r="C164" t="str">
            <v>001342696400000000</v>
          </cell>
          <cell r="D164" t="str">
            <v>KR 18E 40B 41S</v>
          </cell>
          <cell r="E164" t="str">
            <v>AAA0006UCYX</v>
          </cell>
          <cell r="F164">
            <v>40.5</v>
          </cell>
          <cell r="G164">
            <v>58500</v>
          </cell>
          <cell r="H164">
            <v>0</v>
          </cell>
          <cell r="I164" t="str">
            <v>63</v>
          </cell>
          <cell r="J164" t="str">
            <v>-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2369000</v>
          </cell>
          <cell r="P164">
            <v>0</v>
          </cell>
          <cell r="Q164">
            <v>40.5</v>
          </cell>
          <cell r="R164">
            <v>18000</v>
          </cell>
          <cell r="S164">
            <v>19800</v>
          </cell>
          <cell r="T164">
            <v>802000</v>
          </cell>
          <cell r="U164" t="str">
            <v>6611130110001  001800</v>
          </cell>
          <cell r="V164">
            <v>40.5</v>
          </cell>
          <cell r="W164">
            <v>18000</v>
          </cell>
          <cell r="X164" t="str">
            <v>001980</v>
          </cell>
          <cell r="Y164">
            <v>2369000</v>
          </cell>
          <cell r="Z164">
            <v>40.5</v>
          </cell>
          <cell r="AA164">
            <v>58500</v>
          </cell>
        </row>
        <row r="165">
          <cell r="B165" t="str">
            <v>2012-600641</v>
          </cell>
          <cell r="C165" t="str">
            <v>001342740200000000</v>
          </cell>
          <cell r="D165" t="str">
            <v>CL 40AS 16A 90E</v>
          </cell>
          <cell r="E165" t="str">
            <v>AAA0006UMHY</v>
          </cell>
          <cell r="F165">
            <v>36</v>
          </cell>
          <cell r="G165">
            <v>58500</v>
          </cell>
          <cell r="H165">
            <v>0</v>
          </cell>
          <cell r="I165" t="str">
            <v>61</v>
          </cell>
          <cell r="J165" t="str">
            <v>-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2106000</v>
          </cell>
          <cell r="P165">
            <v>0</v>
          </cell>
          <cell r="Q165">
            <v>36</v>
          </cell>
          <cell r="R165">
            <v>18000</v>
          </cell>
          <cell r="S165">
            <v>19800</v>
          </cell>
          <cell r="T165">
            <v>713000</v>
          </cell>
          <cell r="U165" t="str">
            <v>6611130110001  001800</v>
          </cell>
          <cell r="V165">
            <v>36</v>
          </cell>
          <cell r="W165">
            <v>18000</v>
          </cell>
          <cell r="X165" t="str">
            <v>001980</v>
          </cell>
          <cell r="Y165">
            <v>2106000</v>
          </cell>
          <cell r="Z165">
            <v>36</v>
          </cell>
          <cell r="AA165">
            <v>58500</v>
          </cell>
        </row>
        <row r="166">
          <cell r="B166" t="str">
            <v>2012-601093</v>
          </cell>
          <cell r="C166" t="str">
            <v>001342765900000000</v>
          </cell>
          <cell r="D166" t="str">
            <v>KR 17E 40A 77S</v>
          </cell>
          <cell r="E166" t="str">
            <v>AAA0006UUZM</v>
          </cell>
          <cell r="F166">
            <v>36</v>
          </cell>
          <cell r="G166">
            <v>58500</v>
          </cell>
          <cell r="H166">
            <v>0</v>
          </cell>
          <cell r="I166" t="str">
            <v>61</v>
          </cell>
          <cell r="J166" t="str">
            <v>-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2106000</v>
          </cell>
          <cell r="P166">
            <v>0</v>
          </cell>
          <cell r="Q166">
            <v>36</v>
          </cell>
          <cell r="R166">
            <v>18000</v>
          </cell>
          <cell r="S166">
            <v>19800</v>
          </cell>
          <cell r="T166">
            <v>713000</v>
          </cell>
          <cell r="U166" t="str">
            <v>6611130110001  001800</v>
          </cell>
          <cell r="V166">
            <v>36</v>
          </cell>
          <cell r="W166">
            <v>18000</v>
          </cell>
          <cell r="X166" t="str">
            <v>001980</v>
          </cell>
          <cell r="Y166">
            <v>2106000</v>
          </cell>
          <cell r="Z166">
            <v>36</v>
          </cell>
          <cell r="AA166">
            <v>58500</v>
          </cell>
        </row>
        <row r="167">
          <cell r="B167" t="str">
            <v>2012-601131</v>
          </cell>
          <cell r="C167" t="str">
            <v>001342766000000000</v>
          </cell>
          <cell r="D167" t="str">
            <v>KR 17E 40A 81S</v>
          </cell>
          <cell r="E167" t="str">
            <v>AAA0006UWAF</v>
          </cell>
          <cell r="F167">
            <v>36</v>
          </cell>
          <cell r="G167">
            <v>58500</v>
          </cell>
          <cell r="H167">
            <v>0</v>
          </cell>
          <cell r="I167" t="str">
            <v>61</v>
          </cell>
          <cell r="J167" t="str">
            <v>-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2106000</v>
          </cell>
          <cell r="P167">
            <v>0</v>
          </cell>
          <cell r="Q167">
            <v>36</v>
          </cell>
          <cell r="R167">
            <v>18000</v>
          </cell>
          <cell r="S167">
            <v>19800</v>
          </cell>
          <cell r="T167">
            <v>713000</v>
          </cell>
          <cell r="U167" t="str">
            <v>6611130110001  001800</v>
          </cell>
          <cell r="V167">
            <v>36</v>
          </cell>
          <cell r="W167">
            <v>18000</v>
          </cell>
          <cell r="X167" t="str">
            <v>001980</v>
          </cell>
          <cell r="Y167">
            <v>2106000</v>
          </cell>
          <cell r="Z167">
            <v>36</v>
          </cell>
          <cell r="AA167">
            <v>58500</v>
          </cell>
        </row>
        <row r="168">
          <cell r="B168" t="str">
            <v>2012-601286</v>
          </cell>
          <cell r="C168" t="str">
            <v>001342770100000000</v>
          </cell>
          <cell r="D168" t="str">
            <v>KR 17E 40 49S</v>
          </cell>
          <cell r="E168" t="str">
            <v>AAA0006UWBR</v>
          </cell>
          <cell r="F168">
            <v>36</v>
          </cell>
          <cell r="G168">
            <v>58500</v>
          </cell>
          <cell r="H168">
            <v>0</v>
          </cell>
          <cell r="I168" t="str">
            <v>61</v>
          </cell>
          <cell r="J168" t="str">
            <v>-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2106000</v>
          </cell>
          <cell r="P168">
            <v>0</v>
          </cell>
          <cell r="Q168">
            <v>36</v>
          </cell>
          <cell r="R168">
            <v>18000</v>
          </cell>
          <cell r="S168">
            <v>19800</v>
          </cell>
          <cell r="T168">
            <v>713000</v>
          </cell>
          <cell r="U168" t="str">
            <v>6611130110001  001800</v>
          </cell>
          <cell r="V168">
            <v>36</v>
          </cell>
          <cell r="W168">
            <v>18000</v>
          </cell>
          <cell r="X168" t="str">
            <v>001980</v>
          </cell>
          <cell r="Y168">
            <v>2106000</v>
          </cell>
          <cell r="Z168">
            <v>36</v>
          </cell>
          <cell r="AA168">
            <v>58500</v>
          </cell>
        </row>
        <row r="169">
          <cell r="B169" t="str">
            <v>2012-601427</v>
          </cell>
          <cell r="C169" t="str">
            <v>001342770200000000</v>
          </cell>
          <cell r="D169" t="str">
            <v>CL 40BIS S 16A 90E</v>
          </cell>
          <cell r="E169" t="str">
            <v>AAA0006UWCX</v>
          </cell>
          <cell r="F169">
            <v>36</v>
          </cell>
          <cell r="G169">
            <v>58500</v>
          </cell>
          <cell r="H169">
            <v>0</v>
          </cell>
          <cell r="I169" t="str">
            <v>61</v>
          </cell>
          <cell r="J169" t="str">
            <v>-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2106000</v>
          </cell>
          <cell r="P169">
            <v>0</v>
          </cell>
          <cell r="Q169">
            <v>36</v>
          </cell>
          <cell r="R169">
            <v>18000</v>
          </cell>
          <cell r="S169">
            <v>19800</v>
          </cell>
          <cell r="T169">
            <v>713000</v>
          </cell>
          <cell r="U169" t="str">
            <v>6611130110001  001800</v>
          </cell>
          <cell r="V169">
            <v>36</v>
          </cell>
          <cell r="W169">
            <v>18000</v>
          </cell>
          <cell r="X169" t="str">
            <v>001980</v>
          </cell>
          <cell r="Y169">
            <v>2106000</v>
          </cell>
          <cell r="Z169">
            <v>36</v>
          </cell>
          <cell r="AA169">
            <v>58500</v>
          </cell>
        </row>
        <row r="170">
          <cell r="B170" t="str">
            <v>2012-601779</v>
          </cell>
          <cell r="C170" t="str">
            <v>001342770300000000</v>
          </cell>
          <cell r="D170" t="str">
            <v>CL 40BIS S 16A 86E</v>
          </cell>
          <cell r="E170" t="str">
            <v>AAA0006UWDM</v>
          </cell>
          <cell r="F170">
            <v>36</v>
          </cell>
          <cell r="G170">
            <v>58500</v>
          </cell>
          <cell r="H170">
            <v>0</v>
          </cell>
          <cell r="I170" t="str">
            <v>61</v>
          </cell>
          <cell r="J170" t="str">
            <v>-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2106000</v>
          </cell>
          <cell r="P170">
            <v>0</v>
          </cell>
          <cell r="Q170">
            <v>36</v>
          </cell>
          <cell r="R170">
            <v>18000</v>
          </cell>
          <cell r="S170">
            <v>19800</v>
          </cell>
          <cell r="T170">
            <v>713000</v>
          </cell>
          <cell r="U170" t="str">
            <v>6611130110001  001800</v>
          </cell>
          <cell r="V170">
            <v>36</v>
          </cell>
          <cell r="W170">
            <v>18000</v>
          </cell>
          <cell r="X170" t="str">
            <v>001980</v>
          </cell>
          <cell r="Y170">
            <v>2106000</v>
          </cell>
          <cell r="Z170">
            <v>36</v>
          </cell>
          <cell r="AA170">
            <v>58500</v>
          </cell>
        </row>
        <row r="171">
          <cell r="B171" t="str">
            <v>2012-602050</v>
          </cell>
          <cell r="C171" t="str">
            <v>001342770400000000</v>
          </cell>
          <cell r="D171" t="str">
            <v>CL 40BIS S 16A 82E</v>
          </cell>
          <cell r="E171" t="str">
            <v>AAA0006UWEA</v>
          </cell>
          <cell r="F171">
            <v>36</v>
          </cell>
          <cell r="G171">
            <v>58500</v>
          </cell>
          <cell r="H171">
            <v>0</v>
          </cell>
          <cell r="I171" t="str">
            <v>61</v>
          </cell>
          <cell r="J171" t="str">
            <v>-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2106000</v>
          </cell>
          <cell r="P171">
            <v>0</v>
          </cell>
          <cell r="Q171">
            <v>36</v>
          </cell>
          <cell r="R171">
            <v>18000</v>
          </cell>
          <cell r="S171">
            <v>19800</v>
          </cell>
          <cell r="T171">
            <v>713000</v>
          </cell>
          <cell r="U171" t="str">
            <v>6611130110001  001800</v>
          </cell>
          <cell r="V171">
            <v>36</v>
          </cell>
          <cell r="W171">
            <v>18000</v>
          </cell>
          <cell r="X171" t="str">
            <v>001980</v>
          </cell>
          <cell r="Y171">
            <v>2106000</v>
          </cell>
          <cell r="Z171">
            <v>36</v>
          </cell>
          <cell r="AA171">
            <v>58500</v>
          </cell>
        </row>
        <row r="172">
          <cell r="B172" t="str">
            <v>2012-602142</v>
          </cell>
          <cell r="C172" t="str">
            <v>001342770500000000</v>
          </cell>
          <cell r="D172" t="str">
            <v>CL 40BIS S 16A 78E</v>
          </cell>
          <cell r="E172" t="str">
            <v>AAA0006UWFT</v>
          </cell>
          <cell r="F172">
            <v>36</v>
          </cell>
          <cell r="G172">
            <v>58500</v>
          </cell>
          <cell r="H172">
            <v>0</v>
          </cell>
          <cell r="I172" t="str">
            <v>61</v>
          </cell>
          <cell r="J172" t="str">
            <v>-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2106000</v>
          </cell>
          <cell r="P172">
            <v>0</v>
          </cell>
          <cell r="Q172">
            <v>36</v>
          </cell>
          <cell r="R172">
            <v>18000</v>
          </cell>
          <cell r="S172">
            <v>19800</v>
          </cell>
          <cell r="T172">
            <v>713000</v>
          </cell>
          <cell r="U172" t="str">
            <v>6611130110001  001800</v>
          </cell>
          <cell r="V172">
            <v>36</v>
          </cell>
          <cell r="W172">
            <v>18000</v>
          </cell>
          <cell r="X172" t="str">
            <v>001980</v>
          </cell>
          <cell r="Y172">
            <v>2106000</v>
          </cell>
          <cell r="Z172">
            <v>36</v>
          </cell>
          <cell r="AA172">
            <v>58500</v>
          </cell>
        </row>
        <row r="173">
          <cell r="B173" t="str">
            <v>2012-602283</v>
          </cell>
          <cell r="C173" t="str">
            <v>001342770600000000</v>
          </cell>
          <cell r="D173" t="str">
            <v>CL 40BIS S 16A 74E</v>
          </cell>
          <cell r="E173" t="str">
            <v>AAA0006UWHY</v>
          </cell>
          <cell r="F173">
            <v>36</v>
          </cell>
          <cell r="G173">
            <v>58500</v>
          </cell>
          <cell r="H173">
            <v>0</v>
          </cell>
          <cell r="I173" t="str">
            <v>61</v>
          </cell>
          <cell r="J173" t="str">
            <v>-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2106000</v>
          </cell>
          <cell r="P173">
            <v>0</v>
          </cell>
          <cell r="Q173">
            <v>36</v>
          </cell>
          <cell r="R173">
            <v>18000</v>
          </cell>
          <cell r="S173">
            <v>19800</v>
          </cell>
          <cell r="T173">
            <v>713000</v>
          </cell>
          <cell r="U173" t="str">
            <v>6611130110001  001800</v>
          </cell>
          <cell r="V173">
            <v>36</v>
          </cell>
          <cell r="W173">
            <v>18000</v>
          </cell>
          <cell r="X173" t="str">
            <v>001980</v>
          </cell>
          <cell r="Y173">
            <v>2106000</v>
          </cell>
          <cell r="Z173">
            <v>36</v>
          </cell>
          <cell r="AA173">
            <v>58500</v>
          </cell>
        </row>
        <row r="174">
          <cell r="B174" t="str">
            <v>2012-602497</v>
          </cell>
          <cell r="C174" t="str">
            <v>001342770700000000</v>
          </cell>
          <cell r="D174" t="str">
            <v>CL 40BIS S 16A 70E</v>
          </cell>
          <cell r="E174" t="str">
            <v>AAA0006UWJH</v>
          </cell>
          <cell r="F174">
            <v>36</v>
          </cell>
          <cell r="G174">
            <v>58500</v>
          </cell>
          <cell r="H174">
            <v>0</v>
          </cell>
          <cell r="I174" t="str">
            <v>61</v>
          </cell>
          <cell r="J174" t="str">
            <v>-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2106000</v>
          </cell>
          <cell r="P174">
            <v>0</v>
          </cell>
          <cell r="Q174">
            <v>36</v>
          </cell>
          <cell r="R174">
            <v>18000</v>
          </cell>
          <cell r="S174">
            <v>19800</v>
          </cell>
          <cell r="T174">
            <v>713000</v>
          </cell>
          <cell r="U174" t="str">
            <v>6611130110001  001800</v>
          </cell>
          <cell r="V174">
            <v>36</v>
          </cell>
          <cell r="W174">
            <v>18000</v>
          </cell>
          <cell r="X174" t="str">
            <v>001980</v>
          </cell>
          <cell r="Y174">
            <v>2106000</v>
          </cell>
          <cell r="Z174">
            <v>36</v>
          </cell>
          <cell r="AA174">
            <v>58500</v>
          </cell>
        </row>
        <row r="175">
          <cell r="B175" t="str">
            <v>2012-602515</v>
          </cell>
          <cell r="C175" t="str">
            <v>001342770800000000</v>
          </cell>
          <cell r="D175" t="str">
            <v>CL 40BIS S 16A 66E</v>
          </cell>
          <cell r="E175" t="str">
            <v>AAA0006UWKL</v>
          </cell>
          <cell r="F175">
            <v>36</v>
          </cell>
          <cell r="G175">
            <v>58500</v>
          </cell>
          <cell r="H175">
            <v>0</v>
          </cell>
          <cell r="I175" t="str">
            <v>61</v>
          </cell>
          <cell r="J175" t="str">
            <v>-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2106000</v>
          </cell>
          <cell r="P175">
            <v>0</v>
          </cell>
          <cell r="Q175">
            <v>36</v>
          </cell>
          <cell r="R175">
            <v>18000</v>
          </cell>
          <cell r="S175">
            <v>19800</v>
          </cell>
          <cell r="T175">
            <v>713000</v>
          </cell>
          <cell r="U175" t="str">
            <v>6611130110001  001800</v>
          </cell>
          <cell r="V175">
            <v>36</v>
          </cell>
          <cell r="W175">
            <v>18000</v>
          </cell>
          <cell r="X175" t="str">
            <v>001980</v>
          </cell>
          <cell r="Y175">
            <v>2106000</v>
          </cell>
          <cell r="Z175">
            <v>36</v>
          </cell>
          <cell r="AA175">
            <v>58500</v>
          </cell>
        </row>
        <row r="176">
          <cell r="B176" t="str">
            <v>2012-602604</v>
          </cell>
          <cell r="C176" t="str">
            <v>001342770900000000</v>
          </cell>
          <cell r="D176" t="str">
            <v>CL 40BIS S 16A 62E</v>
          </cell>
          <cell r="E176" t="str">
            <v>AAA0006UWLW</v>
          </cell>
          <cell r="F176">
            <v>36</v>
          </cell>
          <cell r="G176">
            <v>58500</v>
          </cell>
          <cell r="H176">
            <v>0</v>
          </cell>
          <cell r="I176" t="str">
            <v>61</v>
          </cell>
          <cell r="J176" t="str">
            <v>-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2106000</v>
          </cell>
          <cell r="P176">
            <v>0</v>
          </cell>
          <cell r="Q176">
            <v>36</v>
          </cell>
          <cell r="R176">
            <v>18000</v>
          </cell>
          <cell r="S176">
            <v>19800</v>
          </cell>
          <cell r="T176">
            <v>713000</v>
          </cell>
          <cell r="U176" t="str">
            <v>6611130110001  001800</v>
          </cell>
          <cell r="V176">
            <v>36</v>
          </cell>
          <cell r="W176">
            <v>18000</v>
          </cell>
          <cell r="X176" t="str">
            <v>001980</v>
          </cell>
          <cell r="Y176">
            <v>2106000</v>
          </cell>
          <cell r="Z176">
            <v>36</v>
          </cell>
          <cell r="AA176">
            <v>58500</v>
          </cell>
        </row>
        <row r="177">
          <cell r="B177" t="str">
            <v>2012-602610</v>
          </cell>
          <cell r="C177" t="str">
            <v>001342771000000000</v>
          </cell>
          <cell r="D177" t="str">
            <v>CL 40BIS S 16A 58E</v>
          </cell>
          <cell r="E177" t="str">
            <v>AAA0006UWMS</v>
          </cell>
          <cell r="F177">
            <v>36</v>
          </cell>
          <cell r="G177">
            <v>58500</v>
          </cell>
          <cell r="H177">
            <v>0</v>
          </cell>
          <cell r="I177" t="str">
            <v>61</v>
          </cell>
          <cell r="J177" t="str">
            <v>-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2106000</v>
          </cell>
          <cell r="P177">
            <v>0</v>
          </cell>
          <cell r="Q177">
            <v>36</v>
          </cell>
          <cell r="R177">
            <v>18000</v>
          </cell>
          <cell r="S177">
            <v>19800</v>
          </cell>
          <cell r="T177">
            <v>713000</v>
          </cell>
          <cell r="U177" t="str">
            <v>6611130110001  001800</v>
          </cell>
          <cell r="V177">
            <v>36</v>
          </cell>
          <cell r="W177">
            <v>18000</v>
          </cell>
          <cell r="X177" t="str">
            <v>001980</v>
          </cell>
          <cell r="Y177">
            <v>2106000</v>
          </cell>
          <cell r="Z177">
            <v>36</v>
          </cell>
          <cell r="AA177">
            <v>58500</v>
          </cell>
        </row>
        <row r="178">
          <cell r="B178" t="str">
            <v>2012-602736</v>
          </cell>
          <cell r="C178" t="str">
            <v>001342771100000000</v>
          </cell>
          <cell r="D178" t="str">
            <v>CL 40BIS S 16A 54E</v>
          </cell>
          <cell r="E178" t="str">
            <v>AAA0006UWNN</v>
          </cell>
          <cell r="F178">
            <v>36</v>
          </cell>
          <cell r="G178">
            <v>58500</v>
          </cell>
          <cell r="H178">
            <v>0</v>
          </cell>
          <cell r="I178" t="str">
            <v>61</v>
          </cell>
          <cell r="J178" t="str">
            <v>-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2106000</v>
          </cell>
          <cell r="P178">
            <v>0</v>
          </cell>
          <cell r="Q178">
            <v>36</v>
          </cell>
          <cell r="R178">
            <v>18000</v>
          </cell>
          <cell r="S178">
            <v>19800</v>
          </cell>
          <cell r="T178">
            <v>713000</v>
          </cell>
          <cell r="U178" t="str">
            <v>6611130110001  001800</v>
          </cell>
          <cell r="V178">
            <v>36</v>
          </cell>
          <cell r="W178">
            <v>18000</v>
          </cell>
          <cell r="X178" t="str">
            <v>001980</v>
          </cell>
          <cell r="Y178">
            <v>2106000</v>
          </cell>
          <cell r="Z178">
            <v>36</v>
          </cell>
          <cell r="AA178">
            <v>58500</v>
          </cell>
        </row>
        <row r="179">
          <cell r="B179" t="str">
            <v>2012-602747</v>
          </cell>
          <cell r="C179" t="str">
            <v>001342771200000000</v>
          </cell>
          <cell r="D179" t="str">
            <v>CL 40BIS S 16A 50E</v>
          </cell>
          <cell r="E179" t="str">
            <v>AAA0006UWOE</v>
          </cell>
          <cell r="F179">
            <v>36</v>
          </cell>
          <cell r="G179">
            <v>58500</v>
          </cell>
          <cell r="H179">
            <v>0</v>
          </cell>
          <cell r="I179" t="str">
            <v>61</v>
          </cell>
          <cell r="J179" t="str">
            <v>-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2106000</v>
          </cell>
          <cell r="P179">
            <v>0</v>
          </cell>
          <cell r="Q179">
            <v>36</v>
          </cell>
          <cell r="R179">
            <v>18000</v>
          </cell>
          <cell r="S179">
            <v>19800</v>
          </cell>
          <cell r="T179">
            <v>713000</v>
          </cell>
          <cell r="U179" t="str">
            <v>6611130110001  001800</v>
          </cell>
          <cell r="V179">
            <v>36</v>
          </cell>
          <cell r="W179">
            <v>18000</v>
          </cell>
          <cell r="X179" t="str">
            <v>001980</v>
          </cell>
          <cell r="Y179">
            <v>2106000</v>
          </cell>
          <cell r="Z179">
            <v>36</v>
          </cell>
          <cell r="AA179">
            <v>58500</v>
          </cell>
        </row>
        <row r="180">
          <cell r="B180" t="str">
            <v>2012-602753</v>
          </cell>
          <cell r="C180" t="str">
            <v>001342771300000000</v>
          </cell>
          <cell r="D180" t="str">
            <v>CL 40BIS S 16A 48E</v>
          </cell>
          <cell r="E180" t="str">
            <v>AAA0006UWPP</v>
          </cell>
          <cell r="F180">
            <v>36</v>
          </cell>
          <cell r="G180">
            <v>58500</v>
          </cell>
          <cell r="H180">
            <v>0</v>
          </cell>
          <cell r="I180" t="str">
            <v>62</v>
          </cell>
          <cell r="J180" t="str">
            <v>-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2106000</v>
          </cell>
          <cell r="P180">
            <v>0</v>
          </cell>
          <cell r="Q180">
            <v>36</v>
          </cell>
          <cell r="R180">
            <v>18000</v>
          </cell>
          <cell r="S180">
            <v>19800</v>
          </cell>
          <cell r="T180">
            <v>713000</v>
          </cell>
          <cell r="U180" t="str">
            <v>6611130110001  001800</v>
          </cell>
          <cell r="V180">
            <v>36</v>
          </cell>
          <cell r="W180">
            <v>18000</v>
          </cell>
          <cell r="X180" t="str">
            <v>001980</v>
          </cell>
          <cell r="Y180">
            <v>2106000</v>
          </cell>
          <cell r="Z180">
            <v>36</v>
          </cell>
          <cell r="AA180">
            <v>58500</v>
          </cell>
        </row>
        <row r="181">
          <cell r="B181" t="str">
            <v>2012-604368</v>
          </cell>
          <cell r="C181" t="str">
            <v>001342742800000000</v>
          </cell>
          <cell r="D181" t="str">
            <v>KR 16A E 40 56S</v>
          </cell>
          <cell r="E181" t="str">
            <v>AAA0006UNMR</v>
          </cell>
          <cell r="F181">
            <v>32.299999999999997</v>
          </cell>
          <cell r="G181">
            <v>58500</v>
          </cell>
          <cell r="H181">
            <v>0</v>
          </cell>
          <cell r="I181" t="str">
            <v>61</v>
          </cell>
          <cell r="J181" t="str">
            <v>-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1890000</v>
          </cell>
          <cell r="P181">
            <v>0</v>
          </cell>
          <cell r="Q181">
            <v>32.299999999999997</v>
          </cell>
          <cell r="R181">
            <v>18000</v>
          </cell>
          <cell r="S181">
            <v>19800</v>
          </cell>
          <cell r="T181">
            <v>640000</v>
          </cell>
          <cell r="U181" t="str">
            <v>6611130110001  001800</v>
          </cell>
          <cell r="V181">
            <v>32.299999999999997</v>
          </cell>
          <cell r="W181">
            <v>18000</v>
          </cell>
          <cell r="X181" t="str">
            <v>001980</v>
          </cell>
          <cell r="Y181">
            <v>1890000</v>
          </cell>
          <cell r="Z181">
            <v>32.299999999999997</v>
          </cell>
          <cell r="AA181">
            <v>58500</v>
          </cell>
        </row>
        <row r="182">
          <cell r="B182" t="str">
            <v>2012-604371</v>
          </cell>
          <cell r="C182" t="str">
            <v>001342742900000000</v>
          </cell>
          <cell r="D182" t="str">
            <v>KR 16A E 40 50S</v>
          </cell>
          <cell r="E182" t="str">
            <v>AAA0006UNNX</v>
          </cell>
          <cell r="F182">
            <v>30.8</v>
          </cell>
          <cell r="G182">
            <v>58500</v>
          </cell>
          <cell r="H182">
            <v>0</v>
          </cell>
          <cell r="I182" t="str">
            <v>61</v>
          </cell>
          <cell r="J182" t="str">
            <v>-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1802000</v>
          </cell>
          <cell r="P182">
            <v>0</v>
          </cell>
          <cell r="Q182">
            <v>30.8</v>
          </cell>
          <cell r="R182">
            <v>18000</v>
          </cell>
          <cell r="S182">
            <v>19800</v>
          </cell>
          <cell r="T182">
            <v>610000</v>
          </cell>
          <cell r="U182" t="str">
            <v>6611130110001  001800</v>
          </cell>
          <cell r="V182">
            <v>30.8</v>
          </cell>
          <cell r="W182">
            <v>18000</v>
          </cell>
          <cell r="X182" t="str">
            <v>001980</v>
          </cell>
          <cell r="Y182">
            <v>1802000</v>
          </cell>
          <cell r="Z182">
            <v>30.8</v>
          </cell>
          <cell r="AA182">
            <v>58500</v>
          </cell>
        </row>
        <row r="183">
          <cell r="B183" t="str">
            <v>2012-604373</v>
          </cell>
          <cell r="C183" t="str">
            <v>001342743000000000</v>
          </cell>
          <cell r="D183" t="str">
            <v>CL 40 BIS S 16A 11E</v>
          </cell>
          <cell r="E183" t="str">
            <v>AAA0006UNOM</v>
          </cell>
          <cell r="F183">
            <v>36</v>
          </cell>
          <cell r="G183">
            <v>58500</v>
          </cell>
          <cell r="H183">
            <v>0</v>
          </cell>
          <cell r="I183" t="str">
            <v>61</v>
          </cell>
          <cell r="J183" t="str">
            <v>-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2106000</v>
          </cell>
          <cell r="P183">
            <v>0</v>
          </cell>
          <cell r="Q183">
            <v>36</v>
          </cell>
          <cell r="R183">
            <v>18000</v>
          </cell>
          <cell r="S183">
            <v>19800</v>
          </cell>
          <cell r="T183">
            <v>713000</v>
          </cell>
          <cell r="U183" t="str">
            <v>6611130110001  001800</v>
          </cell>
          <cell r="V183">
            <v>36</v>
          </cell>
          <cell r="W183">
            <v>18000</v>
          </cell>
          <cell r="X183" t="str">
            <v>001980</v>
          </cell>
          <cell r="Y183">
            <v>2106000</v>
          </cell>
          <cell r="Z183">
            <v>36</v>
          </cell>
          <cell r="AA183">
            <v>58500</v>
          </cell>
        </row>
        <row r="184">
          <cell r="B184" t="str">
            <v>2012-604376</v>
          </cell>
          <cell r="C184" t="str">
            <v>001342740800000000</v>
          </cell>
          <cell r="D184" t="str">
            <v>CL 40AS 16A 66E</v>
          </cell>
          <cell r="E184" t="str">
            <v>AAA0006UMOE</v>
          </cell>
          <cell r="F184">
            <v>36</v>
          </cell>
          <cell r="G184">
            <v>58500</v>
          </cell>
          <cell r="H184">
            <v>0</v>
          </cell>
          <cell r="I184" t="str">
            <v>61</v>
          </cell>
          <cell r="J184" t="str">
            <v>-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2106000</v>
          </cell>
          <cell r="P184">
            <v>0</v>
          </cell>
          <cell r="Q184">
            <v>36</v>
          </cell>
          <cell r="R184">
            <v>18000</v>
          </cell>
          <cell r="S184">
            <v>19800</v>
          </cell>
          <cell r="T184">
            <v>713000</v>
          </cell>
          <cell r="U184" t="str">
            <v>6611130110001  001800</v>
          </cell>
          <cell r="V184">
            <v>36</v>
          </cell>
          <cell r="W184">
            <v>18000</v>
          </cell>
          <cell r="X184" t="str">
            <v>001980</v>
          </cell>
          <cell r="Y184">
            <v>2106000</v>
          </cell>
          <cell r="Z184">
            <v>36</v>
          </cell>
          <cell r="AA184">
            <v>58500</v>
          </cell>
        </row>
        <row r="185">
          <cell r="B185" t="str">
            <v>2012-604379</v>
          </cell>
          <cell r="C185" t="str">
            <v>001342740900000000</v>
          </cell>
          <cell r="D185" t="str">
            <v>CL 40AS 16A 62E</v>
          </cell>
          <cell r="E185" t="str">
            <v>AAA0006UMPP</v>
          </cell>
          <cell r="F185">
            <v>36</v>
          </cell>
          <cell r="G185">
            <v>58500</v>
          </cell>
          <cell r="H185">
            <v>0</v>
          </cell>
          <cell r="I185" t="str">
            <v>61</v>
          </cell>
          <cell r="J185" t="str">
            <v>-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2106000</v>
          </cell>
          <cell r="P185">
            <v>0</v>
          </cell>
          <cell r="Q185">
            <v>36</v>
          </cell>
          <cell r="R185">
            <v>18000</v>
          </cell>
          <cell r="S185">
            <v>19800</v>
          </cell>
          <cell r="T185">
            <v>713000</v>
          </cell>
          <cell r="U185" t="str">
            <v>6611130110001  001800</v>
          </cell>
          <cell r="V185">
            <v>36</v>
          </cell>
          <cell r="W185">
            <v>18000</v>
          </cell>
          <cell r="X185" t="str">
            <v>001980</v>
          </cell>
          <cell r="Y185">
            <v>2106000</v>
          </cell>
          <cell r="Z185">
            <v>36</v>
          </cell>
          <cell r="AA185">
            <v>58500</v>
          </cell>
        </row>
        <row r="186">
          <cell r="B186" t="str">
            <v>2012-604417</v>
          </cell>
          <cell r="C186" t="str">
            <v>001342743100000000</v>
          </cell>
          <cell r="D186" t="str">
            <v>CL 40 BIS S 16A 15E</v>
          </cell>
          <cell r="E186" t="str">
            <v>AAA0006UNPA</v>
          </cell>
          <cell r="F186">
            <v>36</v>
          </cell>
          <cell r="G186">
            <v>58500</v>
          </cell>
          <cell r="H186">
            <v>0</v>
          </cell>
          <cell r="I186" t="str">
            <v>61</v>
          </cell>
          <cell r="J186" t="str">
            <v>-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2106000</v>
          </cell>
          <cell r="P186">
            <v>0</v>
          </cell>
          <cell r="Q186">
            <v>36</v>
          </cell>
          <cell r="R186">
            <v>18000</v>
          </cell>
          <cell r="S186">
            <v>19800</v>
          </cell>
          <cell r="T186">
            <v>713000</v>
          </cell>
          <cell r="U186" t="str">
            <v>6611130110001  001800</v>
          </cell>
          <cell r="V186">
            <v>36</v>
          </cell>
          <cell r="W186">
            <v>18000</v>
          </cell>
          <cell r="X186" t="str">
            <v>001980</v>
          </cell>
          <cell r="Y186">
            <v>2106000</v>
          </cell>
          <cell r="Z186">
            <v>36</v>
          </cell>
          <cell r="AA186">
            <v>58500</v>
          </cell>
        </row>
        <row r="187">
          <cell r="B187" t="str">
            <v>2012-604419</v>
          </cell>
          <cell r="C187" t="str">
            <v>001342743200000000</v>
          </cell>
          <cell r="D187" t="str">
            <v>CL 40 BIS S 16A 19E</v>
          </cell>
          <cell r="E187" t="str">
            <v>AAA0006UNRJ</v>
          </cell>
          <cell r="F187">
            <v>36</v>
          </cell>
          <cell r="G187">
            <v>58500</v>
          </cell>
          <cell r="H187">
            <v>0</v>
          </cell>
          <cell r="I187" t="str">
            <v>61</v>
          </cell>
          <cell r="J187" t="str">
            <v>-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2106000</v>
          </cell>
          <cell r="P187">
            <v>0</v>
          </cell>
          <cell r="Q187">
            <v>36</v>
          </cell>
          <cell r="R187">
            <v>18000</v>
          </cell>
          <cell r="S187">
            <v>19800</v>
          </cell>
          <cell r="T187">
            <v>713000</v>
          </cell>
          <cell r="U187" t="str">
            <v>6611130110001  001800</v>
          </cell>
          <cell r="V187">
            <v>36</v>
          </cell>
          <cell r="W187">
            <v>18000</v>
          </cell>
          <cell r="X187" t="str">
            <v>001980</v>
          </cell>
          <cell r="Y187">
            <v>2106000</v>
          </cell>
          <cell r="Z187">
            <v>36</v>
          </cell>
          <cell r="AA187">
            <v>58500</v>
          </cell>
        </row>
        <row r="188">
          <cell r="B188" t="str">
            <v>2012-604420</v>
          </cell>
          <cell r="C188" t="str">
            <v>001342743300000000</v>
          </cell>
          <cell r="D188" t="str">
            <v>CL 40 BIS S 16A 23E</v>
          </cell>
          <cell r="E188" t="str">
            <v>AAA0006UNSY</v>
          </cell>
          <cell r="F188">
            <v>36</v>
          </cell>
          <cell r="G188">
            <v>58500</v>
          </cell>
          <cell r="H188">
            <v>0</v>
          </cell>
          <cell r="I188" t="str">
            <v>61</v>
          </cell>
          <cell r="J188" t="str">
            <v>-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2106000</v>
          </cell>
          <cell r="P188">
            <v>0</v>
          </cell>
          <cell r="Q188">
            <v>36</v>
          </cell>
          <cell r="R188">
            <v>18000</v>
          </cell>
          <cell r="S188">
            <v>19800</v>
          </cell>
          <cell r="T188">
            <v>713000</v>
          </cell>
          <cell r="U188" t="str">
            <v>6611130110001  001800</v>
          </cell>
          <cell r="V188">
            <v>36</v>
          </cell>
          <cell r="W188">
            <v>18000</v>
          </cell>
          <cell r="X188" t="str">
            <v>001980</v>
          </cell>
          <cell r="Y188">
            <v>2106000</v>
          </cell>
          <cell r="Z188">
            <v>36</v>
          </cell>
          <cell r="AA188">
            <v>58500</v>
          </cell>
        </row>
        <row r="189">
          <cell r="B189" t="str">
            <v>2012-604425</v>
          </cell>
          <cell r="C189" t="str">
            <v>001342743400000000</v>
          </cell>
          <cell r="D189" t="str">
            <v>CL 40 BIS S 16A 27E</v>
          </cell>
          <cell r="E189" t="str">
            <v>AAA0006UNTD</v>
          </cell>
          <cell r="F189">
            <v>36</v>
          </cell>
          <cell r="G189">
            <v>58500</v>
          </cell>
          <cell r="H189">
            <v>0</v>
          </cell>
          <cell r="I189" t="str">
            <v>61</v>
          </cell>
          <cell r="J189" t="str">
            <v>-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2106000</v>
          </cell>
          <cell r="P189">
            <v>0</v>
          </cell>
          <cell r="Q189">
            <v>36</v>
          </cell>
          <cell r="R189">
            <v>18000</v>
          </cell>
          <cell r="S189">
            <v>19800</v>
          </cell>
          <cell r="T189">
            <v>713000</v>
          </cell>
          <cell r="U189" t="str">
            <v>6611130110001  001800</v>
          </cell>
          <cell r="V189">
            <v>36</v>
          </cell>
          <cell r="W189">
            <v>18000</v>
          </cell>
          <cell r="X189" t="str">
            <v>001980</v>
          </cell>
          <cell r="Y189">
            <v>2106000</v>
          </cell>
          <cell r="Z189">
            <v>36</v>
          </cell>
          <cell r="AA189">
            <v>58500</v>
          </cell>
        </row>
        <row r="190">
          <cell r="B190" t="str">
            <v>2012-604427</v>
          </cell>
          <cell r="C190" t="str">
            <v>001342743500000000</v>
          </cell>
          <cell r="D190" t="str">
            <v>CL 40BIS S 16A 31E</v>
          </cell>
          <cell r="E190" t="str">
            <v>AAA0006UNUH</v>
          </cell>
          <cell r="F190">
            <v>36</v>
          </cell>
          <cell r="G190">
            <v>58500</v>
          </cell>
          <cell r="H190">
            <v>0</v>
          </cell>
          <cell r="I190" t="str">
            <v>61</v>
          </cell>
          <cell r="J190" t="str">
            <v>-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2106000</v>
          </cell>
          <cell r="P190">
            <v>0</v>
          </cell>
          <cell r="Q190">
            <v>36</v>
          </cell>
          <cell r="R190">
            <v>18000</v>
          </cell>
          <cell r="S190">
            <v>19800</v>
          </cell>
          <cell r="T190">
            <v>713000</v>
          </cell>
          <cell r="U190" t="str">
            <v>6611130110001  001800</v>
          </cell>
          <cell r="V190">
            <v>36</v>
          </cell>
          <cell r="W190">
            <v>18000</v>
          </cell>
          <cell r="X190" t="str">
            <v>001980</v>
          </cell>
          <cell r="Y190">
            <v>2106000</v>
          </cell>
          <cell r="Z190">
            <v>36</v>
          </cell>
          <cell r="AA190">
            <v>58500</v>
          </cell>
        </row>
        <row r="191">
          <cell r="B191" t="str">
            <v>2012-604432</v>
          </cell>
          <cell r="C191" t="str">
            <v>001342743600000000</v>
          </cell>
          <cell r="D191" t="str">
            <v>CL 40BIS S 16A 35E</v>
          </cell>
          <cell r="E191" t="str">
            <v>AAA0006UNWW</v>
          </cell>
          <cell r="F191">
            <v>36</v>
          </cell>
          <cell r="G191">
            <v>58500</v>
          </cell>
          <cell r="H191">
            <v>0</v>
          </cell>
          <cell r="I191" t="str">
            <v>61</v>
          </cell>
          <cell r="J191" t="str">
            <v>-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2106000</v>
          </cell>
          <cell r="P191">
            <v>0</v>
          </cell>
          <cell r="Q191">
            <v>36</v>
          </cell>
          <cell r="R191">
            <v>18000</v>
          </cell>
          <cell r="S191">
            <v>19800</v>
          </cell>
          <cell r="T191">
            <v>713000</v>
          </cell>
          <cell r="U191" t="str">
            <v>6611130110001  001800</v>
          </cell>
          <cell r="V191">
            <v>36</v>
          </cell>
          <cell r="W191">
            <v>18000</v>
          </cell>
          <cell r="X191" t="str">
            <v>001980</v>
          </cell>
          <cell r="Y191">
            <v>2106000</v>
          </cell>
          <cell r="Z191">
            <v>36</v>
          </cell>
          <cell r="AA191">
            <v>58500</v>
          </cell>
        </row>
        <row r="192">
          <cell r="B192" t="str">
            <v>2012-604435</v>
          </cell>
          <cell r="C192" t="str">
            <v>001342743700000000</v>
          </cell>
          <cell r="D192" t="str">
            <v>CL 40BIS S 16A 39E</v>
          </cell>
          <cell r="E192" t="str">
            <v>AAA0006UNXS</v>
          </cell>
          <cell r="F192">
            <v>36</v>
          </cell>
          <cell r="G192">
            <v>58500</v>
          </cell>
          <cell r="H192">
            <v>0</v>
          </cell>
          <cell r="I192" t="str">
            <v>61</v>
          </cell>
          <cell r="J192" t="str">
            <v>-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2106000</v>
          </cell>
          <cell r="P192">
            <v>0</v>
          </cell>
          <cell r="Q192">
            <v>36</v>
          </cell>
          <cell r="R192">
            <v>18000</v>
          </cell>
          <cell r="S192">
            <v>19800</v>
          </cell>
          <cell r="T192">
            <v>713000</v>
          </cell>
          <cell r="U192" t="str">
            <v>6611130110001  001800</v>
          </cell>
          <cell r="V192">
            <v>36</v>
          </cell>
          <cell r="W192">
            <v>18000</v>
          </cell>
          <cell r="X192" t="str">
            <v>001980</v>
          </cell>
          <cell r="Y192">
            <v>2106000</v>
          </cell>
          <cell r="Z192">
            <v>36</v>
          </cell>
          <cell r="AA192">
            <v>58500</v>
          </cell>
        </row>
        <row r="193">
          <cell r="B193" t="str">
            <v>2012-604447</v>
          </cell>
          <cell r="C193" t="str">
            <v>001342741000000000</v>
          </cell>
          <cell r="D193" t="str">
            <v>CL 40AS 16A 58E</v>
          </cell>
          <cell r="E193" t="str">
            <v>AAA0006UMRU</v>
          </cell>
          <cell r="F193">
            <v>36</v>
          </cell>
          <cell r="G193">
            <v>58500</v>
          </cell>
          <cell r="H193">
            <v>0</v>
          </cell>
          <cell r="I193" t="str">
            <v>61</v>
          </cell>
          <cell r="J193" t="str">
            <v>-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2106000</v>
          </cell>
          <cell r="P193">
            <v>0</v>
          </cell>
          <cell r="Q193">
            <v>36</v>
          </cell>
          <cell r="R193">
            <v>18000</v>
          </cell>
          <cell r="S193">
            <v>19800</v>
          </cell>
          <cell r="T193">
            <v>713000</v>
          </cell>
          <cell r="U193" t="str">
            <v>6611130110001  001800</v>
          </cell>
          <cell r="V193">
            <v>36</v>
          </cell>
          <cell r="W193">
            <v>18000</v>
          </cell>
          <cell r="X193" t="str">
            <v>001980</v>
          </cell>
          <cell r="Y193">
            <v>2106000</v>
          </cell>
          <cell r="Z193">
            <v>36</v>
          </cell>
          <cell r="AA193">
            <v>58500</v>
          </cell>
        </row>
        <row r="194">
          <cell r="B194" t="str">
            <v>2012-604448</v>
          </cell>
          <cell r="C194" t="str">
            <v>001342741100000000</v>
          </cell>
          <cell r="D194" t="str">
            <v>CL 40AS 16A 54E</v>
          </cell>
          <cell r="E194" t="str">
            <v>AAA0006UMSK</v>
          </cell>
          <cell r="F194">
            <v>36</v>
          </cell>
          <cell r="G194">
            <v>58500</v>
          </cell>
          <cell r="H194">
            <v>0</v>
          </cell>
          <cell r="I194" t="str">
            <v>61</v>
          </cell>
          <cell r="J194" t="str">
            <v>-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2106000</v>
          </cell>
          <cell r="P194">
            <v>0</v>
          </cell>
          <cell r="Q194">
            <v>36</v>
          </cell>
          <cell r="R194">
            <v>18000</v>
          </cell>
          <cell r="S194">
            <v>19800</v>
          </cell>
          <cell r="T194">
            <v>713000</v>
          </cell>
          <cell r="U194" t="str">
            <v>6611130110001  001800</v>
          </cell>
          <cell r="V194">
            <v>36</v>
          </cell>
          <cell r="W194">
            <v>18000</v>
          </cell>
          <cell r="X194" t="str">
            <v>001980</v>
          </cell>
          <cell r="Y194">
            <v>2106000</v>
          </cell>
          <cell r="Z194">
            <v>36</v>
          </cell>
          <cell r="AA194">
            <v>58500</v>
          </cell>
        </row>
        <row r="195">
          <cell r="B195" t="str">
            <v>2012-604449</v>
          </cell>
          <cell r="C195" t="str">
            <v>001342741200000000</v>
          </cell>
          <cell r="D195" t="str">
            <v>CL 40AS 16A 50E</v>
          </cell>
          <cell r="E195" t="str">
            <v>AAA0006UMTO</v>
          </cell>
          <cell r="F195">
            <v>36</v>
          </cell>
          <cell r="G195">
            <v>58500</v>
          </cell>
          <cell r="H195">
            <v>0</v>
          </cell>
          <cell r="I195" t="str">
            <v>61</v>
          </cell>
          <cell r="J195" t="str">
            <v>-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2106000</v>
          </cell>
          <cell r="P195">
            <v>0</v>
          </cell>
          <cell r="Q195">
            <v>36</v>
          </cell>
          <cell r="R195">
            <v>18000</v>
          </cell>
          <cell r="S195">
            <v>19800</v>
          </cell>
          <cell r="T195">
            <v>713000</v>
          </cell>
          <cell r="U195" t="str">
            <v>6611130110001  001800</v>
          </cell>
          <cell r="V195">
            <v>36</v>
          </cell>
          <cell r="W195">
            <v>18000</v>
          </cell>
          <cell r="X195" t="str">
            <v>001980</v>
          </cell>
          <cell r="Y195">
            <v>2106000</v>
          </cell>
          <cell r="Z195">
            <v>36</v>
          </cell>
          <cell r="AA195">
            <v>58500</v>
          </cell>
        </row>
        <row r="196">
          <cell r="B196" t="str">
            <v>2012-604452</v>
          </cell>
          <cell r="C196" t="str">
            <v>001342741300000000</v>
          </cell>
          <cell r="D196" t="str">
            <v>CL 40AS 16A 46E</v>
          </cell>
          <cell r="E196" t="str">
            <v>AAA0006UMUZ</v>
          </cell>
          <cell r="F196">
            <v>36</v>
          </cell>
          <cell r="G196">
            <v>58500</v>
          </cell>
          <cell r="H196">
            <v>0</v>
          </cell>
          <cell r="I196" t="str">
            <v>61</v>
          </cell>
          <cell r="J196" t="str">
            <v>-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2106000</v>
          </cell>
          <cell r="P196">
            <v>0</v>
          </cell>
          <cell r="Q196">
            <v>36</v>
          </cell>
          <cell r="R196">
            <v>18000</v>
          </cell>
          <cell r="S196">
            <v>19800</v>
          </cell>
          <cell r="T196">
            <v>713000</v>
          </cell>
          <cell r="U196" t="str">
            <v>6611130110001  001800</v>
          </cell>
          <cell r="V196">
            <v>36</v>
          </cell>
          <cell r="W196">
            <v>18000</v>
          </cell>
          <cell r="X196" t="str">
            <v>001980</v>
          </cell>
          <cell r="Y196">
            <v>2106000</v>
          </cell>
          <cell r="Z196">
            <v>36</v>
          </cell>
          <cell r="AA196">
            <v>58500</v>
          </cell>
        </row>
        <row r="197">
          <cell r="B197" t="str">
            <v>2012-604455</v>
          </cell>
          <cell r="C197" t="str">
            <v>001342741400000000</v>
          </cell>
          <cell r="D197" t="str">
            <v>CL 40AS 16A 42E</v>
          </cell>
          <cell r="E197" t="str">
            <v>AAA0006UMWF</v>
          </cell>
          <cell r="F197">
            <v>36</v>
          </cell>
          <cell r="G197">
            <v>58500</v>
          </cell>
          <cell r="H197">
            <v>0</v>
          </cell>
          <cell r="I197" t="str">
            <v>61</v>
          </cell>
          <cell r="J197" t="str">
            <v>-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2106000</v>
          </cell>
          <cell r="P197">
            <v>0</v>
          </cell>
          <cell r="Q197">
            <v>36</v>
          </cell>
          <cell r="R197">
            <v>18000</v>
          </cell>
          <cell r="S197">
            <v>19800</v>
          </cell>
          <cell r="T197">
            <v>713000</v>
          </cell>
          <cell r="U197" t="str">
            <v>6611130110001  001800</v>
          </cell>
          <cell r="V197">
            <v>36</v>
          </cell>
          <cell r="W197">
            <v>18000</v>
          </cell>
          <cell r="X197" t="str">
            <v>001980</v>
          </cell>
          <cell r="Y197">
            <v>2106000</v>
          </cell>
          <cell r="Z197">
            <v>36</v>
          </cell>
          <cell r="AA197">
            <v>58500</v>
          </cell>
        </row>
        <row r="198">
          <cell r="B198" t="str">
            <v>2012-604476</v>
          </cell>
          <cell r="C198" t="str">
            <v>001342743800000000</v>
          </cell>
          <cell r="D198" t="str">
            <v>CL 40BIS S 16A 43E</v>
          </cell>
          <cell r="E198" t="str">
            <v>AAA0006UNYN</v>
          </cell>
          <cell r="F198">
            <v>36</v>
          </cell>
          <cell r="G198">
            <v>58500</v>
          </cell>
          <cell r="H198">
            <v>0</v>
          </cell>
          <cell r="I198" t="str">
            <v>61</v>
          </cell>
          <cell r="J198" t="str">
            <v>-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2106000</v>
          </cell>
          <cell r="P198">
            <v>0</v>
          </cell>
          <cell r="Q198">
            <v>36</v>
          </cell>
          <cell r="R198">
            <v>18000</v>
          </cell>
          <cell r="S198">
            <v>19800</v>
          </cell>
          <cell r="T198">
            <v>713000</v>
          </cell>
          <cell r="U198" t="str">
            <v>6611130110001  001800</v>
          </cell>
          <cell r="V198">
            <v>36</v>
          </cell>
          <cell r="W198">
            <v>18000</v>
          </cell>
          <cell r="X198" t="str">
            <v>001980</v>
          </cell>
          <cell r="Y198">
            <v>2106000</v>
          </cell>
          <cell r="Z198">
            <v>36</v>
          </cell>
          <cell r="AA198">
            <v>58500</v>
          </cell>
        </row>
        <row r="199">
          <cell r="B199" t="str">
            <v>2012-604477</v>
          </cell>
          <cell r="C199" t="str">
            <v>001342743900000000</v>
          </cell>
          <cell r="D199" t="str">
            <v>CL 40BIS S 16A 47E</v>
          </cell>
          <cell r="E199" t="str">
            <v>AAA0006UNZE</v>
          </cell>
          <cell r="F199">
            <v>36</v>
          </cell>
          <cell r="G199">
            <v>58500</v>
          </cell>
          <cell r="H199">
            <v>0</v>
          </cell>
          <cell r="I199" t="str">
            <v>61</v>
          </cell>
          <cell r="J199" t="str">
            <v>-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2106000</v>
          </cell>
          <cell r="P199">
            <v>0</v>
          </cell>
          <cell r="Q199">
            <v>36</v>
          </cell>
          <cell r="R199">
            <v>18000</v>
          </cell>
          <cell r="S199">
            <v>19800</v>
          </cell>
          <cell r="T199">
            <v>713000</v>
          </cell>
          <cell r="U199" t="str">
            <v>6611130110001  001800</v>
          </cell>
          <cell r="V199">
            <v>36</v>
          </cell>
          <cell r="W199">
            <v>18000</v>
          </cell>
          <cell r="X199" t="str">
            <v>001980</v>
          </cell>
          <cell r="Y199">
            <v>2106000</v>
          </cell>
          <cell r="Z199">
            <v>36</v>
          </cell>
          <cell r="AA199">
            <v>58500</v>
          </cell>
        </row>
        <row r="200">
          <cell r="B200" t="str">
            <v>2012-604478</v>
          </cell>
          <cell r="C200" t="str">
            <v>001342744000000000</v>
          </cell>
          <cell r="D200" t="str">
            <v>CL 40BIS S 16A 51E</v>
          </cell>
          <cell r="E200" t="str">
            <v>AAA0006UOAF</v>
          </cell>
          <cell r="F200">
            <v>36</v>
          </cell>
          <cell r="G200">
            <v>58500</v>
          </cell>
          <cell r="H200">
            <v>0</v>
          </cell>
          <cell r="I200" t="str">
            <v>61</v>
          </cell>
          <cell r="J200" t="str">
            <v>-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2106000</v>
          </cell>
          <cell r="P200">
            <v>0</v>
          </cell>
          <cell r="Q200">
            <v>36</v>
          </cell>
          <cell r="R200">
            <v>18000</v>
          </cell>
          <cell r="S200">
            <v>19800</v>
          </cell>
          <cell r="T200">
            <v>713000</v>
          </cell>
          <cell r="U200" t="str">
            <v>6611130110001  001800</v>
          </cell>
          <cell r="V200">
            <v>36</v>
          </cell>
          <cell r="W200">
            <v>18000</v>
          </cell>
          <cell r="X200" t="str">
            <v>001980</v>
          </cell>
          <cell r="Y200">
            <v>2106000</v>
          </cell>
          <cell r="Z200">
            <v>36</v>
          </cell>
          <cell r="AA200">
            <v>58500</v>
          </cell>
        </row>
        <row r="201">
          <cell r="B201" t="str">
            <v>2012-604481</v>
          </cell>
          <cell r="C201" t="str">
            <v>001342744100000000</v>
          </cell>
          <cell r="D201" t="str">
            <v>CL 40BIS S 16A 55E</v>
          </cell>
          <cell r="E201" t="str">
            <v>AAA0006UOBR</v>
          </cell>
          <cell r="F201">
            <v>36</v>
          </cell>
          <cell r="G201">
            <v>58500</v>
          </cell>
          <cell r="H201">
            <v>0</v>
          </cell>
          <cell r="I201" t="str">
            <v>61</v>
          </cell>
          <cell r="J201" t="str">
            <v>-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2106000</v>
          </cell>
          <cell r="P201">
            <v>0</v>
          </cell>
          <cell r="Q201">
            <v>36</v>
          </cell>
          <cell r="R201">
            <v>18000</v>
          </cell>
          <cell r="S201">
            <v>19800</v>
          </cell>
          <cell r="T201">
            <v>713000</v>
          </cell>
          <cell r="U201" t="str">
            <v>6611130110001  001800</v>
          </cell>
          <cell r="V201">
            <v>36</v>
          </cell>
          <cell r="W201">
            <v>18000</v>
          </cell>
          <cell r="X201" t="str">
            <v>001980</v>
          </cell>
          <cell r="Y201">
            <v>2106000</v>
          </cell>
          <cell r="Z201">
            <v>36</v>
          </cell>
          <cell r="AA201">
            <v>58500</v>
          </cell>
        </row>
        <row r="202">
          <cell r="B202" t="str">
            <v>2012-604483</v>
          </cell>
          <cell r="C202" t="str">
            <v>001342744200000000</v>
          </cell>
          <cell r="D202" t="str">
            <v>CL 40BIS S 16A 59E</v>
          </cell>
          <cell r="E202" t="str">
            <v>AAA0006UOCX</v>
          </cell>
          <cell r="F202">
            <v>36</v>
          </cell>
          <cell r="G202">
            <v>58500</v>
          </cell>
          <cell r="H202">
            <v>0</v>
          </cell>
          <cell r="I202" t="str">
            <v>61</v>
          </cell>
          <cell r="J202" t="str">
            <v>-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2106000</v>
          </cell>
          <cell r="P202">
            <v>0</v>
          </cell>
          <cell r="Q202">
            <v>36</v>
          </cell>
          <cell r="R202">
            <v>18000</v>
          </cell>
          <cell r="S202">
            <v>19800</v>
          </cell>
          <cell r="T202">
            <v>713000</v>
          </cell>
          <cell r="U202" t="str">
            <v>6611130110001  001800</v>
          </cell>
          <cell r="V202">
            <v>36</v>
          </cell>
          <cell r="W202">
            <v>18000</v>
          </cell>
          <cell r="X202" t="str">
            <v>001980</v>
          </cell>
          <cell r="Y202">
            <v>2106000</v>
          </cell>
          <cell r="Z202">
            <v>36</v>
          </cell>
          <cell r="AA202">
            <v>58500</v>
          </cell>
        </row>
        <row r="203">
          <cell r="B203" t="str">
            <v>2012-604484</v>
          </cell>
          <cell r="C203" t="str">
            <v>001342744300000000</v>
          </cell>
          <cell r="D203" t="str">
            <v>CL 40BIS S 16A 63E</v>
          </cell>
          <cell r="E203" t="str">
            <v>AAA0006UODM</v>
          </cell>
          <cell r="F203">
            <v>36</v>
          </cell>
          <cell r="G203">
            <v>58500</v>
          </cell>
          <cell r="H203">
            <v>0</v>
          </cell>
          <cell r="I203" t="str">
            <v>61</v>
          </cell>
          <cell r="J203" t="str">
            <v>-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2106000</v>
          </cell>
          <cell r="P203">
            <v>0</v>
          </cell>
          <cell r="Q203">
            <v>36</v>
          </cell>
          <cell r="R203">
            <v>18000</v>
          </cell>
          <cell r="S203">
            <v>19800</v>
          </cell>
          <cell r="T203">
            <v>713000</v>
          </cell>
          <cell r="U203" t="str">
            <v>6611130110001  001800</v>
          </cell>
          <cell r="V203">
            <v>36</v>
          </cell>
          <cell r="W203">
            <v>18000</v>
          </cell>
          <cell r="X203" t="str">
            <v>001980</v>
          </cell>
          <cell r="Y203">
            <v>2106000</v>
          </cell>
          <cell r="Z203">
            <v>36</v>
          </cell>
          <cell r="AA203">
            <v>58500</v>
          </cell>
        </row>
        <row r="204">
          <cell r="B204" t="str">
            <v>2012-604485</v>
          </cell>
          <cell r="C204" t="str">
            <v>001342744400000000</v>
          </cell>
          <cell r="D204" t="str">
            <v>CL 40BIS S 16A 67E</v>
          </cell>
          <cell r="E204" t="str">
            <v>AAA0006UOEA</v>
          </cell>
          <cell r="F204">
            <v>36</v>
          </cell>
          <cell r="G204">
            <v>58500</v>
          </cell>
          <cell r="H204">
            <v>0</v>
          </cell>
          <cell r="I204" t="str">
            <v>61</v>
          </cell>
          <cell r="J204" t="str">
            <v>-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2106000</v>
          </cell>
          <cell r="P204">
            <v>0</v>
          </cell>
          <cell r="Q204">
            <v>36</v>
          </cell>
          <cell r="R204">
            <v>18000</v>
          </cell>
          <cell r="S204">
            <v>19800</v>
          </cell>
          <cell r="T204">
            <v>713000</v>
          </cell>
          <cell r="U204" t="str">
            <v>6611130110001  001800</v>
          </cell>
          <cell r="V204">
            <v>36</v>
          </cell>
          <cell r="W204">
            <v>18000</v>
          </cell>
          <cell r="X204" t="str">
            <v>001980</v>
          </cell>
          <cell r="Y204">
            <v>2106000</v>
          </cell>
          <cell r="Z204">
            <v>36</v>
          </cell>
          <cell r="AA204">
            <v>58500</v>
          </cell>
        </row>
        <row r="205">
          <cell r="B205" t="str">
            <v>2012-604487</v>
          </cell>
          <cell r="C205" t="str">
            <v>001342744500000000</v>
          </cell>
          <cell r="D205" t="str">
            <v>CL 40BIS S 16A 71E</v>
          </cell>
          <cell r="E205" t="str">
            <v>AAA0006UOFT</v>
          </cell>
          <cell r="F205">
            <v>36</v>
          </cell>
          <cell r="G205">
            <v>58500</v>
          </cell>
          <cell r="H205">
            <v>0</v>
          </cell>
          <cell r="I205" t="str">
            <v>61</v>
          </cell>
          <cell r="J205" t="str">
            <v>-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2106000</v>
          </cell>
          <cell r="P205">
            <v>0</v>
          </cell>
          <cell r="Q205">
            <v>36</v>
          </cell>
          <cell r="R205">
            <v>18000</v>
          </cell>
          <cell r="S205">
            <v>19800</v>
          </cell>
          <cell r="T205">
            <v>713000</v>
          </cell>
          <cell r="U205" t="str">
            <v>6611130110001  001800</v>
          </cell>
          <cell r="V205">
            <v>36</v>
          </cell>
          <cell r="W205">
            <v>18000</v>
          </cell>
          <cell r="X205" t="str">
            <v>001980</v>
          </cell>
          <cell r="Y205">
            <v>2106000</v>
          </cell>
          <cell r="Z205">
            <v>36</v>
          </cell>
          <cell r="AA205">
            <v>58500</v>
          </cell>
        </row>
        <row r="206">
          <cell r="B206" t="str">
            <v>2012-604490</v>
          </cell>
          <cell r="C206" t="str">
            <v>001342744600000000</v>
          </cell>
          <cell r="D206" t="str">
            <v>CL 40BIS S 16A 75E</v>
          </cell>
          <cell r="E206" t="str">
            <v>AAA0006UOHY</v>
          </cell>
          <cell r="F206">
            <v>36</v>
          </cell>
          <cell r="G206">
            <v>58500</v>
          </cell>
          <cell r="H206">
            <v>0</v>
          </cell>
          <cell r="I206" t="str">
            <v>61</v>
          </cell>
          <cell r="J206" t="str">
            <v>-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2106000</v>
          </cell>
          <cell r="P206">
            <v>0</v>
          </cell>
          <cell r="Q206">
            <v>36</v>
          </cell>
          <cell r="R206">
            <v>18000</v>
          </cell>
          <cell r="S206">
            <v>19800</v>
          </cell>
          <cell r="T206">
            <v>713000</v>
          </cell>
          <cell r="U206" t="str">
            <v>6611130110001  001800</v>
          </cell>
          <cell r="V206">
            <v>36</v>
          </cell>
          <cell r="W206">
            <v>18000</v>
          </cell>
          <cell r="X206" t="str">
            <v>001980</v>
          </cell>
          <cell r="Y206">
            <v>2106000</v>
          </cell>
          <cell r="Z206">
            <v>36</v>
          </cell>
          <cell r="AA206">
            <v>58500</v>
          </cell>
        </row>
        <row r="207">
          <cell r="B207" t="str">
            <v>2012-604499</v>
          </cell>
          <cell r="C207" t="str">
            <v>001342741500000000</v>
          </cell>
          <cell r="D207" t="str">
            <v>CL 40AS 16A 38E</v>
          </cell>
          <cell r="E207" t="str">
            <v>AAA0006UMXR</v>
          </cell>
          <cell r="F207">
            <v>36</v>
          </cell>
          <cell r="G207">
            <v>58500</v>
          </cell>
          <cell r="H207">
            <v>0</v>
          </cell>
          <cell r="I207" t="str">
            <v>61</v>
          </cell>
          <cell r="J207" t="str">
            <v>-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2106000</v>
          </cell>
          <cell r="P207">
            <v>0</v>
          </cell>
          <cell r="Q207">
            <v>36</v>
          </cell>
          <cell r="R207">
            <v>18000</v>
          </cell>
          <cell r="S207">
            <v>19800</v>
          </cell>
          <cell r="T207">
            <v>713000</v>
          </cell>
          <cell r="U207" t="str">
            <v>6611130110001  001800</v>
          </cell>
          <cell r="V207">
            <v>36</v>
          </cell>
          <cell r="W207">
            <v>18000</v>
          </cell>
          <cell r="X207" t="str">
            <v>001980</v>
          </cell>
          <cell r="Y207">
            <v>2106000</v>
          </cell>
          <cell r="Z207">
            <v>36</v>
          </cell>
          <cell r="AA207">
            <v>58500</v>
          </cell>
        </row>
        <row r="208">
          <cell r="B208" t="str">
            <v>2012-604500</v>
          </cell>
          <cell r="C208" t="str">
            <v>001342741600000000</v>
          </cell>
          <cell r="D208" t="str">
            <v>CL 40AS 16A 34E</v>
          </cell>
          <cell r="E208" t="str">
            <v>AAA0006UMYX</v>
          </cell>
          <cell r="F208">
            <v>36</v>
          </cell>
          <cell r="G208">
            <v>58500</v>
          </cell>
          <cell r="H208">
            <v>0</v>
          </cell>
          <cell r="I208" t="str">
            <v>61</v>
          </cell>
          <cell r="J208" t="str">
            <v>-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2106000</v>
          </cell>
          <cell r="P208">
            <v>0</v>
          </cell>
          <cell r="Q208">
            <v>36</v>
          </cell>
          <cell r="R208">
            <v>18000</v>
          </cell>
          <cell r="S208">
            <v>19800</v>
          </cell>
          <cell r="T208">
            <v>713000</v>
          </cell>
          <cell r="U208" t="str">
            <v>6611130110001  001800</v>
          </cell>
          <cell r="V208">
            <v>36</v>
          </cell>
          <cell r="W208">
            <v>18000</v>
          </cell>
          <cell r="X208" t="str">
            <v>001980</v>
          </cell>
          <cell r="Y208">
            <v>2106000</v>
          </cell>
          <cell r="Z208">
            <v>36</v>
          </cell>
          <cell r="AA208">
            <v>58500</v>
          </cell>
        </row>
        <row r="209">
          <cell r="B209" t="str">
            <v>2012-604538</v>
          </cell>
          <cell r="C209" t="str">
            <v>001342741700000000</v>
          </cell>
          <cell r="D209" t="str">
            <v>CL 40AS 16A 30E</v>
          </cell>
          <cell r="E209" t="str">
            <v>AAA0006UMZM</v>
          </cell>
          <cell r="F209">
            <v>36</v>
          </cell>
          <cell r="G209">
            <v>58500</v>
          </cell>
          <cell r="H209">
            <v>0</v>
          </cell>
          <cell r="I209" t="str">
            <v>61</v>
          </cell>
          <cell r="J209" t="str">
            <v>-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2106000</v>
          </cell>
          <cell r="P209">
            <v>0</v>
          </cell>
          <cell r="Q209">
            <v>36</v>
          </cell>
          <cell r="R209">
            <v>18000</v>
          </cell>
          <cell r="S209">
            <v>19800</v>
          </cell>
          <cell r="T209">
            <v>713000</v>
          </cell>
          <cell r="U209" t="str">
            <v>6611130110001  001800</v>
          </cell>
          <cell r="V209">
            <v>36</v>
          </cell>
          <cell r="W209">
            <v>18000</v>
          </cell>
          <cell r="X209" t="str">
            <v>001980</v>
          </cell>
          <cell r="Y209">
            <v>2106000</v>
          </cell>
          <cell r="Z209">
            <v>36</v>
          </cell>
          <cell r="AA209">
            <v>58500</v>
          </cell>
        </row>
        <row r="210">
          <cell r="B210" t="str">
            <v>2012-604539</v>
          </cell>
          <cell r="C210" t="str">
            <v>001342741800000000</v>
          </cell>
          <cell r="D210" t="str">
            <v>CL 40AS 16A 26E</v>
          </cell>
          <cell r="E210" t="str">
            <v>AAA0006UNAW</v>
          </cell>
          <cell r="F210">
            <v>36</v>
          </cell>
          <cell r="G210">
            <v>58500</v>
          </cell>
          <cell r="H210">
            <v>0</v>
          </cell>
          <cell r="I210" t="str">
            <v>61</v>
          </cell>
          <cell r="J210" t="str">
            <v>-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2106000</v>
          </cell>
          <cell r="P210">
            <v>0</v>
          </cell>
          <cell r="Q210">
            <v>36</v>
          </cell>
          <cell r="R210">
            <v>18000</v>
          </cell>
          <cell r="S210">
            <v>19800</v>
          </cell>
          <cell r="T210">
            <v>713000</v>
          </cell>
          <cell r="U210" t="str">
            <v>6611130110001  001800</v>
          </cell>
          <cell r="V210">
            <v>36</v>
          </cell>
          <cell r="W210">
            <v>18000</v>
          </cell>
          <cell r="X210" t="str">
            <v>001980</v>
          </cell>
          <cell r="Y210">
            <v>2106000</v>
          </cell>
          <cell r="Z210">
            <v>36</v>
          </cell>
          <cell r="AA210">
            <v>58500</v>
          </cell>
        </row>
        <row r="211">
          <cell r="B211" t="str">
            <v>2012-604542</v>
          </cell>
          <cell r="C211" t="str">
            <v>001342741900000000</v>
          </cell>
          <cell r="D211" t="str">
            <v>CL 40AS 16A 22E</v>
          </cell>
          <cell r="E211" t="str">
            <v>AAA0006UNBS</v>
          </cell>
          <cell r="F211">
            <v>36</v>
          </cell>
          <cell r="G211">
            <v>58500</v>
          </cell>
          <cell r="H211">
            <v>0</v>
          </cell>
          <cell r="I211" t="str">
            <v>61</v>
          </cell>
          <cell r="J211" t="str">
            <v>-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2106000</v>
          </cell>
          <cell r="P211">
            <v>0</v>
          </cell>
          <cell r="Q211">
            <v>36</v>
          </cell>
          <cell r="R211">
            <v>18000</v>
          </cell>
          <cell r="S211">
            <v>19800</v>
          </cell>
          <cell r="T211">
            <v>713000</v>
          </cell>
          <cell r="U211" t="str">
            <v>6611130110001  001800</v>
          </cell>
          <cell r="V211">
            <v>36</v>
          </cell>
          <cell r="W211">
            <v>18000</v>
          </cell>
          <cell r="X211" t="str">
            <v>001980</v>
          </cell>
          <cell r="Y211">
            <v>2106000</v>
          </cell>
          <cell r="Z211">
            <v>36</v>
          </cell>
          <cell r="AA211">
            <v>58500</v>
          </cell>
        </row>
        <row r="212">
          <cell r="B212" t="str">
            <v>2012-604545</v>
          </cell>
          <cell r="C212" t="str">
            <v>001342742000000000</v>
          </cell>
          <cell r="D212" t="str">
            <v>CL 40AS 16A 18E</v>
          </cell>
          <cell r="E212" t="str">
            <v>AAA0006UNCN</v>
          </cell>
          <cell r="F212">
            <v>36</v>
          </cell>
          <cell r="G212">
            <v>58500</v>
          </cell>
          <cell r="H212">
            <v>0</v>
          </cell>
          <cell r="I212" t="str">
            <v>61</v>
          </cell>
          <cell r="J212" t="str">
            <v>-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2106000</v>
          </cell>
          <cell r="P212">
            <v>0</v>
          </cell>
          <cell r="Q212">
            <v>36</v>
          </cell>
          <cell r="R212">
            <v>18000</v>
          </cell>
          <cell r="S212">
            <v>19800</v>
          </cell>
          <cell r="T212">
            <v>713000</v>
          </cell>
          <cell r="U212" t="str">
            <v>6611130110001  001800</v>
          </cell>
          <cell r="V212">
            <v>36</v>
          </cell>
          <cell r="W212">
            <v>18000</v>
          </cell>
          <cell r="X212" t="str">
            <v>001980</v>
          </cell>
          <cell r="Y212">
            <v>2106000</v>
          </cell>
          <cell r="Z212">
            <v>36</v>
          </cell>
          <cell r="AA212">
            <v>58500</v>
          </cell>
        </row>
        <row r="213">
          <cell r="B213" t="str">
            <v>2012-604547</v>
          </cell>
          <cell r="C213" t="str">
            <v>001342742100000000</v>
          </cell>
          <cell r="D213" t="str">
            <v>CL 40AS 16A 14E</v>
          </cell>
          <cell r="E213" t="str">
            <v>AAA0006UNDE</v>
          </cell>
          <cell r="F213">
            <v>36</v>
          </cell>
          <cell r="G213">
            <v>58500</v>
          </cell>
          <cell r="H213">
            <v>0</v>
          </cell>
          <cell r="I213" t="str">
            <v>61</v>
          </cell>
          <cell r="J213" t="str">
            <v>-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2106000</v>
          </cell>
          <cell r="P213">
            <v>0</v>
          </cell>
          <cell r="Q213">
            <v>36</v>
          </cell>
          <cell r="R213">
            <v>18000</v>
          </cell>
          <cell r="S213">
            <v>19800</v>
          </cell>
          <cell r="T213">
            <v>713000</v>
          </cell>
          <cell r="U213" t="str">
            <v>6611130110001  001800</v>
          </cell>
          <cell r="V213">
            <v>36</v>
          </cell>
          <cell r="W213">
            <v>18000</v>
          </cell>
          <cell r="X213" t="str">
            <v>001980</v>
          </cell>
          <cell r="Y213">
            <v>2106000</v>
          </cell>
          <cell r="Z213">
            <v>36</v>
          </cell>
          <cell r="AA213">
            <v>58500</v>
          </cell>
        </row>
        <row r="214">
          <cell r="B214" t="str">
            <v>2012-604548</v>
          </cell>
          <cell r="C214" t="str">
            <v>001342742200000000</v>
          </cell>
          <cell r="D214" t="str">
            <v>KR 16A E 40 92S</v>
          </cell>
          <cell r="E214" t="str">
            <v>AAA0006UNEP</v>
          </cell>
          <cell r="F214">
            <v>41.300000000000004</v>
          </cell>
          <cell r="G214">
            <v>58500</v>
          </cell>
          <cell r="H214">
            <v>0</v>
          </cell>
          <cell r="I214" t="str">
            <v>61</v>
          </cell>
          <cell r="J214" t="str">
            <v>-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2416000</v>
          </cell>
          <cell r="P214">
            <v>0</v>
          </cell>
          <cell r="Q214">
            <v>41.300000000000004</v>
          </cell>
          <cell r="R214">
            <v>18000</v>
          </cell>
          <cell r="S214">
            <v>19800</v>
          </cell>
          <cell r="T214">
            <v>818000</v>
          </cell>
          <cell r="U214" t="str">
            <v>6611130110001  001800</v>
          </cell>
          <cell r="V214">
            <v>41.300000000000004</v>
          </cell>
          <cell r="W214">
            <v>18000</v>
          </cell>
          <cell r="X214" t="str">
            <v>001980</v>
          </cell>
          <cell r="Y214">
            <v>2416000</v>
          </cell>
          <cell r="Z214">
            <v>41.300000000000004</v>
          </cell>
          <cell r="AA214">
            <v>58500</v>
          </cell>
        </row>
        <row r="215">
          <cell r="B215" t="str">
            <v>2012-604549</v>
          </cell>
          <cell r="C215" t="str">
            <v>001342742300000000</v>
          </cell>
          <cell r="D215" t="str">
            <v>KR 16A E 40 86S</v>
          </cell>
          <cell r="E215" t="str">
            <v>AAA0006UNFZ</v>
          </cell>
          <cell r="F215">
            <v>39.800000000000004</v>
          </cell>
          <cell r="G215">
            <v>58500</v>
          </cell>
          <cell r="H215">
            <v>0</v>
          </cell>
          <cell r="I215" t="str">
            <v>61</v>
          </cell>
          <cell r="J215" t="str">
            <v>-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2328000</v>
          </cell>
          <cell r="P215">
            <v>0</v>
          </cell>
          <cell r="Q215">
            <v>39.800000000000004</v>
          </cell>
          <cell r="R215">
            <v>18000</v>
          </cell>
          <cell r="S215">
            <v>19800</v>
          </cell>
          <cell r="T215">
            <v>788000</v>
          </cell>
          <cell r="U215" t="str">
            <v>6611130110001  001800</v>
          </cell>
          <cell r="V215">
            <v>39.800000000000004</v>
          </cell>
          <cell r="W215">
            <v>18000</v>
          </cell>
          <cell r="X215" t="str">
            <v>001980</v>
          </cell>
          <cell r="Y215">
            <v>2328000</v>
          </cell>
          <cell r="Z215">
            <v>39.800000000000004</v>
          </cell>
          <cell r="AA215">
            <v>58500</v>
          </cell>
        </row>
        <row r="216">
          <cell r="B216" t="str">
            <v>2012-604550</v>
          </cell>
          <cell r="C216" t="str">
            <v>001342742400000000</v>
          </cell>
          <cell r="D216" t="str">
            <v>KR 16A E 40 80S</v>
          </cell>
          <cell r="E216" t="str">
            <v>AAA0006UNHK</v>
          </cell>
          <cell r="F216">
            <v>38.300000000000004</v>
          </cell>
          <cell r="G216">
            <v>58500</v>
          </cell>
          <cell r="H216">
            <v>0</v>
          </cell>
          <cell r="I216" t="str">
            <v>61</v>
          </cell>
          <cell r="J216" t="str">
            <v>-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2241000</v>
          </cell>
          <cell r="P216">
            <v>0</v>
          </cell>
          <cell r="Q216">
            <v>38.300000000000004</v>
          </cell>
          <cell r="R216">
            <v>18000</v>
          </cell>
          <cell r="S216">
            <v>19800</v>
          </cell>
          <cell r="T216">
            <v>758000</v>
          </cell>
          <cell r="U216" t="str">
            <v>6611130110001  001800</v>
          </cell>
          <cell r="V216">
            <v>38.300000000000004</v>
          </cell>
          <cell r="W216">
            <v>18000</v>
          </cell>
          <cell r="X216" t="str">
            <v>001980</v>
          </cell>
          <cell r="Y216">
            <v>2241000</v>
          </cell>
          <cell r="Z216">
            <v>38.300000000000004</v>
          </cell>
          <cell r="AA216">
            <v>58500</v>
          </cell>
        </row>
        <row r="217">
          <cell r="B217" t="str">
            <v>2012-604551</v>
          </cell>
          <cell r="C217" t="str">
            <v>001342742500000000</v>
          </cell>
          <cell r="D217" t="str">
            <v>KR 16A E 40 74S</v>
          </cell>
          <cell r="E217" t="str">
            <v>AAA0006UNJZ</v>
          </cell>
          <cell r="F217">
            <v>36.800000000000004</v>
          </cell>
          <cell r="G217">
            <v>58500</v>
          </cell>
          <cell r="H217">
            <v>0</v>
          </cell>
          <cell r="I217" t="str">
            <v>61</v>
          </cell>
          <cell r="J217" t="str">
            <v>-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2153000</v>
          </cell>
          <cell r="P217">
            <v>0</v>
          </cell>
          <cell r="Q217">
            <v>36.800000000000004</v>
          </cell>
          <cell r="R217">
            <v>18000</v>
          </cell>
          <cell r="S217">
            <v>19800</v>
          </cell>
          <cell r="T217">
            <v>729000</v>
          </cell>
          <cell r="U217" t="str">
            <v>6611130110001  001800</v>
          </cell>
          <cell r="V217">
            <v>36.800000000000004</v>
          </cell>
          <cell r="W217">
            <v>18000</v>
          </cell>
          <cell r="X217" t="str">
            <v>001980</v>
          </cell>
          <cell r="Y217">
            <v>2153000</v>
          </cell>
          <cell r="Z217">
            <v>36.800000000000004</v>
          </cell>
          <cell r="AA217">
            <v>58500</v>
          </cell>
        </row>
        <row r="218">
          <cell r="B218" t="str">
            <v>2012-604552</v>
          </cell>
          <cell r="C218" t="str">
            <v>001342742600000000</v>
          </cell>
          <cell r="D218" t="str">
            <v>KR 16A E 40 68S</v>
          </cell>
          <cell r="E218" t="str">
            <v>AAA0006UNKC</v>
          </cell>
          <cell r="F218">
            <v>35.300000000000004</v>
          </cell>
          <cell r="G218">
            <v>58500</v>
          </cell>
          <cell r="H218">
            <v>0</v>
          </cell>
          <cell r="I218" t="str">
            <v>62</v>
          </cell>
          <cell r="J218" t="str">
            <v>-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2065000</v>
          </cell>
          <cell r="P218">
            <v>0</v>
          </cell>
          <cell r="Q218">
            <v>35.300000000000004</v>
          </cell>
          <cell r="R218">
            <v>18000</v>
          </cell>
          <cell r="S218">
            <v>19800</v>
          </cell>
          <cell r="T218">
            <v>699000</v>
          </cell>
          <cell r="U218" t="str">
            <v>6611130110001  001800</v>
          </cell>
          <cell r="V218">
            <v>35.300000000000004</v>
          </cell>
          <cell r="W218">
            <v>18000</v>
          </cell>
          <cell r="X218" t="str">
            <v>001980</v>
          </cell>
          <cell r="Y218">
            <v>2065000</v>
          </cell>
          <cell r="Z218">
            <v>35.300000000000004</v>
          </cell>
          <cell r="AA218">
            <v>58500</v>
          </cell>
        </row>
        <row r="219">
          <cell r="B219" t="str">
            <v>2012-604576</v>
          </cell>
          <cell r="C219" t="str">
            <v>001342742700000000</v>
          </cell>
          <cell r="D219" t="str">
            <v>KR 16A E 40 62S</v>
          </cell>
          <cell r="E219" t="str">
            <v>AAA0006UNLF</v>
          </cell>
          <cell r="F219">
            <v>33.799999999999997</v>
          </cell>
          <cell r="G219">
            <v>58500</v>
          </cell>
          <cell r="H219">
            <v>0</v>
          </cell>
          <cell r="I219" t="str">
            <v>61</v>
          </cell>
          <cell r="J219" t="str">
            <v>-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1977000</v>
          </cell>
          <cell r="P219">
            <v>0</v>
          </cell>
          <cell r="Q219">
            <v>33.799999999999997</v>
          </cell>
          <cell r="R219">
            <v>18000</v>
          </cell>
          <cell r="S219">
            <v>19800</v>
          </cell>
          <cell r="T219">
            <v>669000</v>
          </cell>
          <cell r="U219" t="str">
            <v>6611130110001  001800</v>
          </cell>
          <cell r="V219">
            <v>33.799999999999997</v>
          </cell>
          <cell r="W219">
            <v>18000</v>
          </cell>
          <cell r="X219" t="str">
            <v>001980</v>
          </cell>
          <cell r="Y219">
            <v>1977000</v>
          </cell>
          <cell r="Z219">
            <v>33.799999999999997</v>
          </cell>
          <cell r="AA219">
            <v>58500</v>
          </cell>
        </row>
        <row r="220">
          <cell r="B220" t="str">
            <v>2012-605072</v>
          </cell>
          <cell r="C220" t="str">
            <v>001342771400000000</v>
          </cell>
          <cell r="D220" t="str">
            <v>CL 40BIS S 16A 42E</v>
          </cell>
          <cell r="E220" t="str">
            <v>AAA0006UWRU</v>
          </cell>
          <cell r="F220">
            <v>36</v>
          </cell>
          <cell r="G220">
            <v>58500</v>
          </cell>
          <cell r="H220">
            <v>0</v>
          </cell>
          <cell r="I220" t="str">
            <v>61</v>
          </cell>
          <cell r="J220" t="str">
            <v>-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2106000</v>
          </cell>
          <cell r="P220">
            <v>0</v>
          </cell>
          <cell r="Q220">
            <v>36</v>
          </cell>
          <cell r="R220">
            <v>18000</v>
          </cell>
          <cell r="S220">
            <v>19800</v>
          </cell>
          <cell r="T220">
            <v>713000</v>
          </cell>
          <cell r="U220" t="str">
            <v>6611130110001  001800</v>
          </cell>
          <cell r="V220">
            <v>36</v>
          </cell>
          <cell r="W220">
            <v>18000</v>
          </cell>
          <cell r="X220" t="str">
            <v>001980</v>
          </cell>
          <cell r="Y220">
            <v>2106000</v>
          </cell>
          <cell r="Z220">
            <v>36</v>
          </cell>
          <cell r="AA220">
            <v>58500</v>
          </cell>
        </row>
        <row r="221">
          <cell r="B221" t="str">
            <v>2012-605075</v>
          </cell>
          <cell r="C221" t="str">
            <v>001342771500000000</v>
          </cell>
          <cell r="D221" t="str">
            <v>CL 40BIS S 16A 38E</v>
          </cell>
          <cell r="E221" t="str">
            <v>AAA0006UWSK</v>
          </cell>
          <cell r="F221">
            <v>36</v>
          </cell>
          <cell r="G221">
            <v>58500</v>
          </cell>
          <cell r="H221">
            <v>0</v>
          </cell>
          <cell r="I221" t="str">
            <v>61</v>
          </cell>
          <cell r="J221" t="str">
            <v>-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2106000</v>
          </cell>
          <cell r="P221">
            <v>0</v>
          </cell>
          <cell r="Q221">
            <v>36</v>
          </cell>
          <cell r="R221">
            <v>18000</v>
          </cell>
          <cell r="S221">
            <v>19800</v>
          </cell>
          <cell r="T221">
            <v>713000</v>
          </cell>
          <cell r="U221" t="str">
            <v>6611130110001  001800</v>
          </cell>
          <cell r="V221">
            <v>36</v>
          </cell>
          <cell r="W221">
            <v>18000</v>
          </cell>
          <cell r="X221" t="str">
            <v>001980</v>
          </cell>
          <cell r="Y221">
            <v>2106000</v>
          </cell>
          <cell r="Z221">
            <v>36</v>
          </cell>
          <cell r="AA221">
            <v>58500</v>
          </cell>
        </row>
        <row r="222">
          <cell r="B222" t="str">
            <v>2012-605120</v>
          </cell>
          <cell r="C222" t="str">
            <v>001342771600000000</v>
          </cell>
          <cell r="D222" t="str">
            <v>CL 40BIS S 16A 34E</v>
          </cell>
          <cell r="E222" t="str">
            <v>AAA0006UWTO</v>
          </cell>
          <cell r="F222">
            <v>36</v>
          </cell>
          <cell r="G222">
            <v>58500</v>
          </cell>
          <cell r="H222">
            <v>0</v>
          </cell>
          <cell r="I222" t="str">
            <v>61</v>
          </cell>
          <cell r="J222" t="str">
            <v>-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2106000</v>
          </cell>
          <cell r="P222">
            <v>0</v>
          </cell>
          <cell r="Q222">
            <v>36</v>
          </cell>
          <cell r="R222">
            <v>18000</v>
          </cell>
          <cell r="S222">
            <v>19800</v>
          </cell>
          <cell r="T222">
            <v>713000</v>
          </cell>
          <cell r="U222" t="str">
            <v>6611130110001  001800</v>
          </cell>
          <cell r="V222">
            <v>36</v>
          </cell>
          <cell r="W222">
            <v>18000</v>
          </cell>
          <cell r="X222" t="str">
            <v>001980</v>
          </cell>
          <cell r="Y222">
            <v>2106000</v>
          </cell>
          <cell r="Z222">
            <v>36</v>
          </cell>
          <cell r="AA222">
            <v>58500</v>
          </cell>
        </row>
        <row r="223">
          <cell r="B223" t="str">
            <v>2012-605170</v>
          </cell>
          <cell r="C223" t="str">
            <v>001342771700000000</v>
          </cell>
          <cell r="D223" t="str">
            <v>CL 40BIS S 16A 30E</v>
          </cell>
          <cell r="E223" t="str">
            <v>AAA0006UWUZ</v>
          </cell>
          <cell r="F223">
            <v>36</v>
          </cell>
          <cell r="G223">
            <v>58500</v>
          </cell>
          <cell r="H223">
            <v>0</v>
          </cell>
          <cell r="I223" t="str">
            <v>61</v>
          </cell>
          <cell r="J223" t="str">
            <v>-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2106000</v>
          </cell>
          <cell r="P223">
            <v>0</v>
          </cell>
          <cell r="Q223">
            <v>36</v>
          </cell>
          <cell r="R223">
            <v>18000</v>
          </cell>
          <cell r="S223">
            <v>19800</v>
          </cell>
          <cell r="T223">
            <v>713000</v>
          </cell>
          <cell r="U223" t="str">
            <v>6611130110001  001800</v>
          </cell>
          <cell r="V223">
            <v>36</v>
          </cell>
          <cell r="W223">
            <v>18000</v>
          </cell>
          <cell r="X223" t="str">
            <v>001980</v>
          </cell>
          <cell r="Y223">
            <v>2106000</v>
          </cell>
          <cell r="Z223">
            <v>36</v>
          </cell>
          <cell r="AA223">
            <v>58500</v>
          </cell>
        </row>
        <row r="224">
          <cell r="B224" t="str">
            <v>2012-605257</v>
          </cell>
          <cell r="C224" t="str">
            <v>001342771800000000</v>
          </cell>
          <cell r="D224" t="str">
            <v>CL 40BIS S 16A 26E</v>
          </cell>
          <cell r="E224" t="str">
            <v>AAA0006UWWF</v>
          </cell>
          <cell r="F224">
            <v>36</v>
          </cell>
          <cell r="G224">
            <v>58500</v>
          </cell>
          <cell r="H224">
            <v>0</v>
          </cell>
          <cell r="I224" t="str">
            <v>61</v>
          </cell>
          <cell r="J224" t="str">
            <v>-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2106000</v>
          </cell>
          <cell r="P224">
            <v>0</v>
          </cell>
          <cell r="Q224">
            <v>36</v>
          </cell>
          <cell r="R224">
            <v>18000</v>
          </cell>
          <cell r="S224">
            <v>19800</v>
          </cell>
          <cell r="T224">
            <v>713000</v>
          </cell>
          <cell r="U224" t="str">
            <v>6611130110001  001800</v>
          </cell>
          <cell r="V224">
            <v>36</v>
          </cell>
          <cell r="W224">
            <v>18000</v>
          </cell>
          <cell r="X224" t="str">
            <v>001980</v>
          </cell>
          <cell r="Y224">
            <v>2106000</v>
          </cell>
          <cell r="Z224">
            <v>36</v>
          </cell>
          <cell r="AA224">
            <v>58500</v>
          </cell>
        </row>
        <row r="225">
          <cell r="B225" t="str">
            <v>2012-605318</v>
          </cell>
          <cell r="C225" t="str">
            <v>001342772000000000</v>
          </cell>
          <cell r="D225" t="str">
            <v>KR 16A E 40 48S</v>
          </cell>
          <cell r="E225" t="str">
            <v>AAA0006UWYX</v>
          </cell>
          <cell r="F225">
            <v>40.5</v>
          </cell>
          <cell r="G225">
            <v>58500</v>
          </cell>
          <cell r="H225">
            <v>0</v>
          </cell>
          <cell r="I225" t="str">
            <v>61</v>
          </cell>
          <cell r="J225" t="str">
            <v>-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2369000</v>
          </cell>
          <cell r="P225">
            <v>0</v>
          </cell>
          <cell r="Q225">
            <v>40.5</v>
          </cell>
          <cell r="R225">
            <v>18000</v>
          </cell>
          <cell r="S225">
            <v>19800</v>
          </cell>
          <cell r="T225">
            <v>802000</v>
          </cell>
          <cell r="U225" t="str">
            <v>6611130110001  001800</v>
          </cell>
          <cell r="V225">
            <v>40.5</v>
          </cell>
          <cell r="W225">
            <v>18000</v>
          </cell>
          <cell r="X225" t="str">
            <v>001980</v>
          </cell>
          <cell r="Y225">
            <v>2369000</v>
          </cell>
          <cell r="Z225">
            <v>40.5</v>
          </cell>
          <cell r="AA225">
            <v>58500</v>
          </cell>
        </row>
        <row r="226">
          <cell r="B226" t="str">
            <v>2012-605356</v>
          </cell>
          <cell r="C226" t="str">
            <v>001342771900000000</v>
          </cell>
          <cell r="D226" t="str">
            <v>CL 40BIS S 16A 22E</v>
          </cell>
          <cell r="E226" t="str">
            <v>AAA0006UWXR</v>
          </cell>
          <cell r="F226">
            <v>36</v>
          </cell>
          <cell r="G226">
            <v>58500</v>
          </cell>
          <cell r="H226">
            <v>0</v>
          </cell>
          <cell r="I226" t="str">
            <v>61</v>
          </cell>
          <cell r="J226" t="str">
            <v>-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2106000</v>
          </cell>
          <cell r="P226">
            <v>0</v>
          </cell>
          <cell r="Q226">
            <v>36</v>
          </cell>
          <cell r="R226">
            <v>18000</v>
          </cell>
          <cell r="S226">
            <v>19800</v>
          </cell>
          <cell r="T226">
            <v>713000</v>
          </cell>
          <cell r="U226" t="str">
            <v>6611130110001  001800</v>
          </cell>
          <cell r="V226">
            <v>36</v>
          </cell>
          <cell r="W226">
            <v>18000</v>
          </cell>
          <cell r="X226" t="str">
            <v>001980</v>
          </cell>
          <cell r="Y226">
            <v>2106000</v>
          </cell>
          <cell r="Z226">
            <v>36</v>
          </cell>
          <cell r="AA226">
            <v>58500</v>
          </cell>
        </row>
        <row r="227">
          <cell r="B227" t="str">
            <v>2012-605427</v>
          </cell>
          <cell r="C227" t="str">
            <v>001342772100000000</v>
          </cell>
          <cell r="D227" t="str">
            <v>KR 16A E 40 42S</v>
          </cell>
          <cell r="E227" t="str">
            <v>AAA0006UWZM</v>
          </cell>
          <cell r="F227">
            <v>37.5</v>
          </cell>
          <cell r="G227">
            <v>58500</v>
          </cell>
          <cell r="H227">
            <v>0</v>
          </cell>
          <cell r="I227" t="str">
            <v>61</v>
          </cell>
          <cell r="J227" t="str">
            <v>-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2194000</v>
          </cell>
          <cell r="P227">
            <v>0</v>
          </cell>
          <cell r="Q227">
            <v>37.5</v>
          </cell>
          <cell r="R227">
            <v>18000</v>
          </cell>
          <cell r="S227">
            <v>19800</v>
          </cell>
          <cell r="T227">
            <v>743000</v>
          </cell>
          <cell r="U227" t="str">
            <v>6611130110001  001800</v>
          </cell>
          <cell r="V227">
            <v>37.5</v>
          </cell>
          <cell r="W227">
            <v>18000</v>
          </cell>
          <cell r="X227" t="str">
            <v>001980</v>
          </cell>
          <cell r="Y227">
            <v>2194000</v>
          </cell>
          <cell r="Z227">
            <v>37.5</v>
          </cell>
          <cell r="AA227">
            <v>58500</v>
          </cell>
        </row>
        <row r="228">
          <cell r="B228" t="str">
            <v>2012-605705</v>
          </cell>
          <cell r="C228" t="str">
            <v>001342772200000000</v>
          </cell>
          <cell r="D228" t="str">
            <v>KR 16A E 40 36S</v>
          </cell>
          <cell r="E228" t="str">
            <v>AAA0006UXAW</v>
          </cell>
          <cell r="F228">
            <v>34.5</v>
          </cell>
          <cell r="G228">
            <v>58500</v>
          </cell>
          <cell r="H228">
            <v>0</v>
          </cell>
          <cell r="I228" t="str">
            <v>61</v>
          </cell>
          <cell r="J228" t="str">
            <v>-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2018000</v>
          </cell>
          <cell r="P228">
            <v>0</v>
          </cell>
          <cell r="Q228">
            <v>34.5</v>
          </cell>
          <cell r="R228">
            <v>18000</v>
          </cell>
          <cell r="S228">
            <v>19800</v>
          </cell>
          <cell r="T228">
            <v>683000</v>
          </cell>
          <cell r="U228" t="str">
            <v>6611130110001  001800</v>
          </cell>
          <cell r="V228">
            <v>34.5</v>
          </cell>
          <cell r="W228">
            <v>18000</v>
          </cell>
          <cell r="X228" t="str">
            <v>001980</v>
          </cell>
          <cell r="Y228">
            <v>2018000</v>
          </cell>
          <cell r="Z228">
            <v>34.5</v>
          </cell>
          <cell r="AA228">
            <v>58500</v>
          </cell>
        </row>
        <row r="229">
          <cell r="B229" t="str">
            <v>2012-605760</v>
          </cell>
          <cell r="C229" t="str">
            <v>001342772300000000</v>
          </cell>
          <cell r="D229" t="str">
            <v>KR 16A ESTE 40 30 SUR</v>
          </cell>
          <cell r="E229" t="str">
            <v>AAA0006UXBS</v>
          </cell>
          <cell r="F229">
            <v>31.5</v>
          </cell>
          <cell r="G229">
            <v>58500</v>
          </cell>
          <cell r="H229">
            <v>0</v>
          </cell>
          <cell r="I229" t="str">
            <v>61</v>
          </cell>
          <cell r="J229" t="str">
            <v>-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1843000</v>
          </cell>
          <cell r="P229">
            <v>0</v>
          </cell>
          <cell r="Q229">
            <v>31.5</v>
          </cell>
          <cell r="R229">
            <v>18000</v>
          </cell>
          <cell r="S229">
            <v>19800</v>
          </cell>
          <cell r="T229">
            <v>624000</v>
          </cell>
          <cell r="U229" t="str">
            <v>6611130110001  001800</v>
          </cell>
          <cell r="V229">
            <v>31.5</v>
          </cell>
          <cell r="W229">
            <v>18000</v>
          </cell>
          <cell r="X229" t="str">
            <v>001980</v>
          </cell>
          <cell r="Y229">
            <v>1843000</v>
          </cell>
          <cell r="Z229">
            <v>31.5</v>
          </cell>
          <cell r="AA229">
            <v>58500</v>
          </cell>
        </row>
        <row r="230">
          <cell r="B230" t="str">
            <v>2012-605814</v>
          </cell>
          <cell r="C230" t="str">
            <v>001342772400000000</v>
          </cell>
          <cell r="D230" t="str">
            <v>KR 16A ESTE 40 24 SUR</v>
          </cell>
          <cell r="E230" t="str">
            <v>AAA0006UXCN</v>
          </cell>
          <cell r="F230">
            <v>46.5</v>
          </cell>
          <cell r="G230">
            <v>58500</v>
          </cell>
          <cell r="H230">
            <v>0</v>
          </cell>
          <cell r="I230" t="str">
            <v>61</v>
          </cell>
          <cell r="J230" t="str">
            <v>-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2720000</v>
          </cell>
          <cell r="P230">
            <v>0</v>
          </cell>
          <cell r="Q230">
            <v>46.5</v>
          </cell>
          <cell r="R230">
            <v>18000</v>
          </cell>
          <cell r="S230">
            <v>19800</v>
          </cell>
          <cell r="T230">
            <v>921000</v>
          </cell>
          <cell r="U230" t="str">
            <v>6611130110001  001800</v>
          </cell>
          <cell r="V230">
            <v>46.5</v>
          </cell>
          <cell r="W230">
            <v>18000</v>
          </cell>
          <cell r="X230" t="str">
            <v>001980</v>
          </cell>
          <cell r="Y230">
            <v>2720000</v>
          </cell>
          <cell r="Z230">
            <v>46.5</v>
          </cell>
          <cell r="AA230">
            <v>58500</v>
          </cell>
        </row>
        <row r="231">
          <cell r="B231" t="str">
            <v>2012-605830</v>
          </cell>
          <cell r="C231" t="str">
            <v>001342772500000000</v>
          </cell>
          <cell r="D231" t="str">
            <v>KR 16A ESTE 40 18 SUR</v>
          </cell>
          <cell r="E231" t="str">
            <v>AAA0006UXDE</v>
          </cell>
          <cell r="F231">
            <v>43.5</v>
          </cell>
          <cell r="G231">
            <v>58500</v>
          </cell>
          <cell r="H231">
            <v>0</v>
          </cell>
          <cell r="I231" t="str">
            <v>61</v>
          </cell>
          <cell r="J231" t="str">
            <v>-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2545000</v>
          </cell>
          <cell r="P231">
            <v>0</v>
          </cell>
          <cell r="Q231">
            <v>43.5</v>
          </cell>
          <cell r="R231">
            <v>18000</v>
          </cell>
          <cell r="S231">
            <v>19800</v>
          </cell>
          <cell r="T231">
            <v>861000</v>
          </cell>
          <cell r="U231" t="str">
            <v>6611130110001  001800</v>
          </cell>
          <cell r="V231">
            <v>43.5</v>
          </cell>
          <cell r="W231">
            <v>18000</v>
          </cell>
          <cell r="X231" t="str">
            <v>001980</v>
          </cell>
          <cell r="Y231">
            <v>2545000</v>
          </cell>
          <cell r="Z231">
            <v>43.5</v>
          </cell>
          <cell r="AA231">
            <v>58500</v>
          </cell>
        </row>
        <row r="232">
          <cell r="B232" t="str">
            <v>2012-606331</v>
          </cell>
          <cell r="C232" t="str">
            <v>001342011900000009</v>
          </cell>
          <cell r="D232" t="str">
            <v>CL 40 BIS SUR 17 90 ESTE</v>
          </cell>
          <cell r="E232" t="str">
            <v>AAA0006LRSK</v>
          </cell>
          <cell r="F232">
            <v>18283.53</v>
          </cell>
          <cell r="G232">
            <v>58500</v>
          </cell>
          <cell r="H232">
            <v>0</v>
          </cell>
          <cell r="I232" t="str">
            <v>63</v>
          </cell>
          <cell r="J232" t="str">
            <v>-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1069587000</v>
          </cell>
          <cell r="P232">
            <v>0</v>
          </cell>
          <cell r="Q232">
            <v>18283.53</v>
          </cell>
          <cell r="R232">
            <v>16000</v>
          </cell>
          <cell r="S232">
            <v>18144</v>
          </cell>
          <cell r="T232">
            <v>331736000</v>
          </cell>
          <cell r="U232" t="str">
            <v>5736530110003 001600</v>
          </cell>
          <cell r="V232">
            <v>18283.53</v>
          </cell>
          <cell r="W232">
            <v>16000</v>
          </cell>
          <cell r="X232" t="str">
            <v>001816</v>
          </cell>
          <cell r="Y232">
            <v>1069587000</v>
          </cell>
          <cell r="Z232">
            <v>18283.53</v>
          </cell>
          <cell r="AA232">
            <v>58500</v>
          </cell>
        </row>
        <row r="233">
          <cell r="B233" t="str">
            <v>2012-606369</v>
          </cell>
          <cell r="C233" t="str">
            <v>001342012000000000</v>
          </cell>
          <cell r="D233" t="str">
            <v>CL 40 BIS  SUR 17 10 ESTE</v>
          </cell>
          <cell r="E233" t="str">
            <v>AAA0195ASUH</v>
          </cell>
          <cell r="F233">
            <v>9156.5300000000007</v>
          </cell>
          <cell r="G233">
            <v>58500</v>
          </cell>
          <cell r="H233">
            <v>0</v>
          </cell>
          <cell r="I233" t="str">
            <v>63</v>
          </cell>
          <cell r="J233" t="str">
            <v>-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535657000</v>
          </cell>
          <cell r="P233">
            <v>0</v>
          </cell>
          <cell r="Q233">
            <v>9156.5300000000007</v>
          </cell>
          <cell r="R233">
            <v>18000</v>
          </cell>
          <cell r="S233">
            <v>19800</v>
          </cell>
          <cell r="T233">
            <v>181299000</v>
          </cell>
          <cell r="U233" t="str">
            <v>5727735152203 001800</v>
          </cell>
          <cell r="V233">
            <v>9156.5300000000007</v>
          </cell>
          <cell r="W233">
            <v>18000</v>
          </cell>
          <cell r="X233" t="str">
            <v>001980</v>
          </cell>
          <cell r="Y233">
            <v>535657000</v>
          </cell>
          <cell r="Z233">
            <v>9156.5300000000007</v>
          </cell>
          <cell r="AA233">
            <v>58500</v>
          </cell>
        </row>
        <row r="234">
          <cell r="B234" t="str">
            <v>2012-607729</v>
          </cell>
          <cell r="C234" t="str">
            <v>001342753900000000</v>
          </cell>
          <cell r="D234" t="str">
            <v>CL 40AS 16A 47E</v>
          </cell>
          <cell r="E234" t="str">
            <v>AAA0006URNX</v>
          </cell>
          <cell r="F234">
            <v>36</v>
          </cell>
          <cell r="G234">
            <v>58500</v>
          </cell>
          <cell r="H234">
            <v>0</v>
          </cell>
          <cell r="I234" t="str">
            <v>61</v>
          </cell>
          <cell r="J234" t="str">
            <v>-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2106000</v>
          </cell>
          <cell r="P234">
            <v>0</v>
          </cell>
          <cell r="Q234">
            <v>36</v>
          </cell>
          <cell r="R234">
            <v>18000</v>
          </cell>
          <cell r="S234">
            <v>19800</v>
          </cell>
          <cell r="T234">
            <v>713000</v>
          </cell>
          <cell r="U234" t="str">
            <v>6611130110001  001800</v>
          </cell>
          <cell r="V234">
            <v>36</v>
          </cell>
          <cell r="W234">
            <v>18000</v>
          </cell>
          <cell r="X234" t="str">
            <v>001980</v>
          </cell>
          <cell r="Y234">
            <v>2106000</v>
          </cell>
          <cell r="Z234">
            <v>36</v>
          </cell>
          <cell r="AA234">
            <v>58500</v>
          </cell>
        </row>
        <row r="235">
          <cell r="B235" t="str">
            <v>2012-607734</v>
          </cell>
          <cell r="C235" t="str">
            <v>001342754000000000</v>
          </cell>
          <cell r="D235" t="str">
            <v>CL 40AS 16A 51E</v>
          </cell>
          <cell r="E235" t="str">
            <v>AAA0006UROM</v>
          </cell>
          <cell r="F235">
            <v>36</v>
          </cell>
          <cell r="G235">
            <v>58500</v>
          </cell>
          <cell r="H235">
            <v>0</v>
          </cell>
          <cell r="I235" t="str">
            <v>61</v>
          </cell>
          <cell r="J235" t="str">
            <v>-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2106000</v>
          </cell>
          <cell r="P235">
            <v>0</v>
          </cell>
          <cell r="Q235">
            <v>36</v>
          </cell>
          <cell r="R235">
            <v>18000</v>
          </cell>
          <cell r="S235">
            <v>19800</v>
          </cell>
          <cell r="T235">
            <v>713000</v>
          </cell>
          <cell r="U235" t="str">
            <v>6611130110001  001800</v>
          </cell>
          <cell r="V235">
            <v>36</v>
          </cell>
          <cell r="W235">
            <v>18000</v>
          </cell>
          <cell r="X235" t="str">
            <v>001980</v>
          </cell>
          <cell r="Y235">
            <v>2106000</v>
          </cell>
          <cell r="Z235">
            <v>36</v>
          </cell>
          <cell r="AA235">
            <v>58500</v>
          </cell>
        </row>
        <row r="236">
          <cell r="B236" t="str">
            <v>2012-607761</v>
          </cell>
          <cell r="C236" t="str">
            <v>001342754100000000</v>
          </cell>
          <cell r="D236" t="str">
            <v>CL 40AS 16A 55E</v>
          </cell>
          <cell r="E236" t="str">
            <v>AAA0006URPA</v>
          </cell>
          <cell r="F236">
            <v>36</v>
          </cell>
          <cell r="G236">
            <v>58500</v>
          </cell>
          <cell r="H236">
            <v>0</v>
          </cell>
          <cell r="I236" t="str">
            <v>61</v>
          </cell>
          <cell r="J236" t="str">
            <v>-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2106000</v>
          </cell>
          <cell r="P236">
            <v>0</v>
          </cell>
          <cell r="Q236">
            <v>36</v>
          </cell>
          <cell r="R236">
            <v>18000</v>
          </cell>
          <cell r="S236">
            <v>19800</v>
          </cell>
          <cell r="T236">
            <v>713000</v>
          </cell>
          <cell r="U236" t="str">
            <v>6611130110001  001800</v>
          </cell>
          <cell r="V236">
            <v>36</v>
          </cell>
          <cell r="W236">
            <v>18000</v>
          </cell>
          <cell r="X236" t="str">
            <v>001980</v>
          </cell>
          <cell r="Y236">
            <v>2106000</v>
          </cell>
          <cell r="Z236">
            <v>36</v>
          </cell>
          <cell r="AA236">
            <v>58500</v>
          </cell>
        </row>
        <row r="237">
          <cell r="B237" t="str">
            <v>2012-607766</v>
          </cell>
          <cell r="C237" t="str">
            <v>001342754200000000</v>
          </cell>
          <cell r="D237" t="str">
            <v>CL 40AS 16A 59E</v>
          </cell>
          <cell r="E237" t="str">
            <v>AAA0006URRJ</v>
          </cell>
          <cell r="F237">
            <v>36</v>
          </cell>
          <cell r="G237">
            <v>58500</v>
          </cell>
          <cell r="H237">
            <v>0</v>
          </cell>
          <cell r="I237" t="str">
            <v>61</v>
          </cell>
          <cell r="J237" t="str">
            <v>-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2106000</v>
          </cell>
          <cell r="P237">
            <v>0</v>
          </cell>
          <cell r="Q237">
            <v>36</v>
          </cell>
          <cell r="R237">
            <v>18000</v>
          </cell>
          <cell r="S237">
            <v>19800</v>
          </cell>
          <cell r="T237">
            <v>713000</v>
          </cell>
          <cell r="U237" t="str">
            <v>6611130110001  001800</v>
          </cell>
          <cell r="V237">
            <v>36</v>
          </cell>
          <cell r="W237">
            <v>18000</v>
          </cell>
          <cell r="X237" t="str">
            <v>001980</v>
          </cell>
          <cell r="Y237">
            <v>2106000</v>
          </cell>
          <cell r="Z237">
            <v>36</v>
          </cell>
          <cell r="AA237">
            <v>58500</v>
          </cell>
        </row>
        <row r="238">
          <cell r="B238" t="str">
            <v>2012-607769</v>
          </cell>
          <cell r="C238" t="str">
            <v>001342754300000000</v>
          </cell>
          <cell r="D238" t="str">
            <v>CL 40AS 16A 63E</v>
          </cell>
          <cell r="E238" t="str">
            <v>AAA0006URSY</v>
          </cell>
          <cell r="F238">
            <v>36</v>
          </cell>
          <cell r="G238">
            <v>58500</v>
          </cell>
          <cell r="H238">
            <v>0</v>
          </cell>
          <cell r="I238" t="str">
            <v>61</v>
          </cell>
          <cell r="J238" t="str">
            <v>-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2106000</v>
          </cell>
          <cell r="P238">
            <v>0</v>
          </cell>
          <cell r="Q238">
            <v>36</v>
          </cell>
          <cell r="R238">
            <v>18000</v>
          </cell>
          <cell r="S238">
            <v>19800</v>
          </cell>
          <cell r="T238">
            <v>713000</v>
          </cell>
          <cell r="U238" t="str">
            <v>6611130110001  001800</v>
          </cell>
          <cell r="V238">
            <v>36</v>
          </cell>
          <cell r="W238">
            <v>18000</v>
          </cell>
          <cell r="X238" t="str">
            <v>001980</v>
          </cell>
          <cell r="Y238">
            <v>2106000</v>
          </cell>
          <cell r="Z238">
            <v>36</v>
          </cell>
          <cell r="AA238">
            <v>58500</v>
          </cell>
        </row>
        <row r="239">
          <cell r="B239" t="str">
            <v>2012-607775</v>
          </cell>
          <cell r="C239" t="str">
            <v>001342754400000000</v>
          </cell>
          <cell r="D239" t="str">
            <v>CL 40AS 16A 67E</v>
          </cell>
          <cell r="E239" t="str">
            <v>AAA0006URTD</v>
          </cell>
          <cell r="F239">
            <v>36</v>
          </cell>
          <cell r="G239">
            <v>58500</v>
          </cell>
          <cell r="H239">
            <v>0</v>
          </cell>
          <cell r="I239" t="str">
            <v>61</v>
          </cell>
          <cell r="J239" t="str">
            <v>-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2106000</v>
          </cell>
          <cell r="P239">
            <v>0</v>
          </cell>
          <cell r="Q239">
            <v>36</v>
          </cell>
          <cell r="R239">
            <v>18000</v>
          </cell>
          <cell r="S239">
            <v>19800</v>
          </cell>
          <cell r="T239">
            <v>713000</v>
          </cell>
          <cell r="U239" t="str">
            <v>6611130110001  001800</v>
          </cell>
          <cell r="V239">
            <v>36</v>
          </cell>
          <cell r="W239">
            <v>18000</v>
          </cell>
          <cell r="X239" t="str">
            <v>001980</v>
          </cell>
          <cell r="Y239">
            <v>2106000</v>
          </cell>
          <cell r="Z239">
            <v>36</v>
          </cell>
          <cell r="AA239">
            <v>58500</v>
          </cell>
        </row>
        <row r="240">
          <cell r="B240" t="str">
            <v>2012-607803</v>
          </cell>
          <cell r="C240" t="str">
            <v>001342754500000000</v>
          </cell>
          <cell r="D240" t="str">
            <v>CL 40AS 16A 71E</v>
          </cell>
          <cell r="E240" t="str">
            <v>AAA0006URUH</v>
          </cell>
          <cell r="F240">
            <v>36</v>
          </cell>
          <cell r="G240">
            <v>58500</v>
          </cell>
          <cell r="H240">
            <v>0</v>
          </cell>
          <cell r="I240" t="str">
            <v>61</v>
          </cell>
          <cell r="J240" t="str">
            <v>-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2106000</v>
          </cell>
          <cell r="P240">
            <v>0</v>
          </cell>
          <cell r="Q240">
            <v>36</v>
          </cell>
          <cell r="R240">
            <v>18000</v>
          </cell>
          <cell r="S240">
            <v>19800</v>
          </cell>
          <cell r="T240">
            <v>713000</v>
          </cell>
          <cell r="U240" t="str">
            <v>6611130110001  001800</v>
          </cell>
          <cell r="V240">
            <v>36</v>
          </cell>
          <cell r="W240">
            <v>18000</v>
          </cell>
          <cell r="X240" t="str">
            <v>001980</v>
          </cell>
          <cell r="Y240">
            <v>2106000</v>
          </cell>
          <cell r="Z240">
            <v>36</v>
          </cell>
          <cell r="AA240">
            <v>58500</v>
          </cell>
        </row>
        <row r="241">
          <cell r="B241" t="str">
            <v>2012-607827</v>
          </cell>
          <cell r="C241" t="str">
            <v>001342754600000000</v>
          </cell>
          <cell r="D241" t="str">
            <v>CL 40AS 16A 75E</v>
          </cell>
          <cell r="E241" t="str">
            <v>AAA0006URWW</v>
          </cell>
          <cell r="F241">
            <v>36</v>
          </cell>
          <cell r="G241">
            <v>58500</v>
          </cell>
          <cell r="H241">
            <v>0</v>
          </cell>
          <cell r="I241" t="str">
            <v>61</v>
          </cell>
          <cell r="J241" t="str">
            <v>-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2106000</v>
          </cell>
          <cell r="P241">
            <v>0</v>
          </cell>
          <cell r="Q241">
            <v>36</v>
          </cell>
          <cell r="R241">
            <v>18000</v>
          </cell>
          <cell r="S241">
            <v>19800</v>
          </cell>
          <cell r="T241">
            <v>713000</v>
          </cell>
          <cell r="U241" t="str">
            <v>6611130110001  001800</v>
          </cell>
          <cell r="V241">
            <v>36</v>
          </cell>
          <cell r="W241">
            <v>18000</v>
          </cell>
          <cell r="X241" t="str">
            <v>001980</v>
          </cell>
          <cell r="Y241">
            <v>2106000</v>
          </cell>
          <cell r="Z241">
            <v>36</v>
          </cell>
          <cell r="AA241">
            <v>58500</v>
          </cell>
        </row>
        <row r="242">
          <cell r="B242" t="str">
            <v>2012-607832</v>
          </cell>
          <cell r="C242" t="str">
            <v>001342754700000000</v>
          </cell>
          <cell r="D242" t="str">
            <v>CL 40AS 16A 79E</v>
          </cell>
          <cell r="E242" t="str">
            <v>AAA0006URXS</v>
          </cell>
          <cell r="F242">
            <v>36</v>
          </cell>
          <cell r="G242">
            <v>58500</v>
          </cell>
          <cell r="H242">
            <v>0</v>
          </cell>
          <cell r="I242" t="str">
            <v>61</v>
          </cell>
          <cell r="J242" t="str">
            <v>-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2106000</v>
          </cell>
          <cell r="P242">
            <v>0</v>
          </cell>
          <cell r="Q242">
            <v>36</v>
          </cell>
          <cell r="R242">
            <v>18000</v>
          </cell>
          <cell r="S242">
            <v>19800</v>
          </cell>
          <cell r="T242">
            <v>713000</v>
          </cell>
          <cell r="U242" t="str">
            <v>6611130110001  001800</v>
          </cell>
          <cell r="V242">
            <v>36</v>
          </cell>
          <cell r="W242">
            <v>18000</v>
          </cell>
          <cell r="X242" t="str">
            <v>001980</v>
          </cell>
          <cell r="Y242">
            <v>2106000</v>
          </cell>
          <cell r="Z242">
            <v>36</v>
          </cell>
          <cell r="AA242">
            <v>58500</v>
          </cell>
        </row>
        <row r="243">
          <cell r="B243" t="str">
            <v>2012-607876</v>
          </cell>
          <cell r="C243" t="str">
            <v>001342754800000000</v>
          </cell>
          <cell r="D243" t="str">
            <v>CL 40AS 16A 83E</v>
          </cell>
          <cell r="E243" t="str">
            <v>AAA0006URYN</v>
          </cell>
          <cell r="F243">
            <v>36</v>
          </cell>
          <cell r="G243">
            <v>58500</v>
          </cell>
          <cell r="H243">
            <v>0</v>
          </cell>
          <cell r="I243" t="str">
            <v>61</v>
          </cell>
          <cell r="J243" t="str">
            <v>-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2106000</v>
          </cell>
          <cell r="P243">
            <v>0</v>
          </cell>
          <cell r="Q243">
            <v>36</v>
          </cell>
          <cell r="R243">
            <v>18000</v>
          </cell>
          <cell r="S243">
            <v>19800</v>
          </cell>
          <cell r="T243">
            <v>713000</v>
          </cell>
          <cell r="U243" t="str">
            <v>6611130110001  001800</v>
          </cell>
          <cell r="V243">
            <v>36</v>
          </cell>
          <cell r="W243">
            <v>18000</v>
          </cell>
          <cell r="X243" t="str">
            <v>001980</v>
          </cell>
          <cell r="Y243">
            <v>2106000</v>
          </cell>
          <cell r="Z243">
            <v>36</v>
          </cell>
          <cell r="AA243">
            <v>58500</v>
          </cell>
        </row>
        <row r="244">
          <cell r="B244" t="str">
            <v>2012-607881</v>
          </cell>
          <cell r="C244" t="str">
            <v>001342754900000000</v>
          </cell>
          <cell r="D244" t="str">
            <v>CL 40AS 16A 87E</v>
          </cell>
          <cell r="E244" t="str">
            <v>AAA0006URZE</v>
          </cell>
          <cell r="F244">
            <v>36</v>
          </cell>
          <cell r="G244">
            <v>58500</v>
          </cell>
          <cell r="H244">
            <v>0</v>
          </cell>
          <cell r="I244" t="str">
            <v>61</v>
          </cell>
          <cell r="J244" t="str">
            <v>-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2106000</v>
          </cell>
          <cell r="P244">
            <v>0</v>
          </cell>
          <cell r="Q244">
            <v>36</v>
          </cell>
          <cell r="R244">
            <v>18000</v>
          </cell>
          <cell r="S244">
            <v>19800</v>
          </cell>
          <cell r="T244">
            <v>713000</v>
          </cell>
          <cell r="U244" t="str">
            <v>6611130110001  001800</v>
          </cell>
          <cell r="V244">
            <v>36</v>
          </cell>
          <cell r="W244">
            <v>18000</v>
          </cell>
          <cell r="X244" t="str">
            <v>001980</v>
          </cell>
          <cell r="Y244">
            <v>2106000</v>
          </cell>
          <cell r="Z244">
            <v>36</v>
          </cell>
          <cell r="AA244">
            <v>58500</v>
          </cell>
        </row>
        <row r="245">
          <cell r="B245" t="str">
            <v>2012-607918</v>
          </cell>
          <cell r="C245" t="str">
            <v>001342755000000000</v>
          </cell>
          <cell r="D245" t="str">
            <v>KR 17E 40A 07S</v>
          </cell>
          <cell r="E245" t="str">
            <v>AAA0006USAF</v>
          </cell>
          <cell r="F245">
            <v>36</v>
          </cell>
          <cell r="G245">
            <v>58500</v>
          </cell>
          <cell r="H245">
            <v>0</v>
          </cell>
          <cell r="I245" t="str">
            <v>61</v>
          </cell>
          <cell r="J245" t="str">
            <v>-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2106000</v>
          </cell>
          <cell r="P245">
            <v>0</v>
          </cell>
          <cell r="Q245">
            <v>36</v>
          </cell>
          <cell r="R245">
            <v>18000</v>
          </cell>
          <cell r="S245">
            <v>19800</v>
          </cell>
          <cell r="T245">
            <v>713000</v>
          </cell>
          <cell r="U245" t="str">
            <v>6611130110001  001800</v>
          </cell>
          <cell r="V245">
            <v>36</v>
          </cell>
          <cell r="W245">
            <v>18000</v>
          </cell>
          <cell r="X245" t="str">
            <v>001980</v>
          </cell>
          <cell r="Y245">
            <v>2106000</v>
          </cell>
          <cell r="Z245">
            <v>36</v>
          </cell>
          <cell r="AA245">
            <v>58500</v>
          </cell>
        </row>
        <row r="246">
          <cell r="B246" t="str">
            <v>2012-607920</v>
          </cell>
          <cell r="C246" t="str">
            <v>001342755100000000</v>
          </cell>
          <cell r="D246" t="str">
            <v>KR 17E 40A 11S</v>
          </cell>
          <cell r="E246" t="str">
            <v>AAA0006USBR</v>
          </cell>
          <cell r="F246">
            <v>36</v>
          </cell>
          <cell r="G246">
            <v>58500</v>
          </cell>
          <cell r="H246">
            <v>0</v>
          </cell>
          <cell r="I246" t="str">
            <v>61</v>
          </cell>
          <cell r="J246" t="str">
            <v>-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2106000</v>
          </cell>
          <cell r="P246">
            <v>0</v>
          </cell>
          <cell r="Q246">
            <v>36</v>
          </cell>
          <cell r="R246">
            <v>18000</v>
          </cell>
          <cell r="S246">
            <v>19800</v>
          </cell>
          <cell r="T246">
            <v>713000</v>
          </cell>
          <cell r="U246" t="str">
            <v>6611130110001  001800</v>
          </cell>
          <cell r="V246">
            <v>36</v>
          </cell>
          <cell r="W246">
            <v>18000</v>
          </cell>
          <cell r="X246" t="str">
            <v>001980</v>
          </cell>
          <cell r="Y246">
            <v>2106000</v>
          </cell>
          <cell r="Z246">
            <v>36</v>
          </cell>
          <cell r="AA246">
            <v>58500</v>
          </cell>
        </row>
        <row r="247">
          <cell r="B247" t="str">
            <v>2012-607922</v>
          </cell>
          <cell r="C247" t="str">
            <v>001342755300000000</v>
          </cell>
          <cell r="D247" t="str">
            <v>KR 17E 40A 23S</v>
          </cell>
          <cell r="E247" t="str">
            <v>AAA0006USDM</v>
          </cell>
          <cell r="F247">
            <v>36</v>
          </cell>
          <cell r="G247">
            <v>58500</v>
          </cell>
          <cell r="H247">
            <v>0</v>
          </cell>
          <cell r="I247" t="str">
            <v>61</v>
          </cell>
          <cell r="J247" t="str">
            <v>-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2106000</v>
          </cell>
          <cell r="P247">
            <v>0</v>
          </cell>
          <cell r="Q247">
            <v>36</v>
          </cell>
          <cell r="R247">
            <v>18000</v>
          </cell>
          <cell r="S247">
            <v>19800</v>
          </cell>
          <cell r="T247">
            <v>713000</v>
          </cell>
          <cell r="U247" t="str">
            <v>6611130110001  001800</v>
          </cell>
          <cell r="V247">
            <v>36</v>
          </cell>
          <cell r="W247">
            <v>18000</v>
          </cell>
          <cell r="X247" t="str">
            <v>001980</v>
          </cell>
          <cell r="Y247">
            <v>2106000</v>
          </cell>
          <cell r="Z247">
            <v>36</v>
          </cell>
          <cell r="AA247">
            <v>58500</v>
          </cell>
        </row>
        <row r="248">
          <cell r="B248" t="str">
            <v>2012-607927</v>
          </cell>
          <cell r="C248" t="str">
            <v>001342755200000000</v>
          </cell>
          <cell r="D248" t="str">
            <v>KR 17E 40A 17S</v>
          </cell>
          <cell r="E248" t="str">
            <v>AAA0006USCX</v>
          </cell>
          <cell r="F248">
            <v>36</v>
          </cell>
          <cell r="G248">
            <v>58500</v>
          </cell>
          <cell r="H248">
            <v>0</v>
          </cell>
          <cell r="I248" t="str">
            <v>61</v>
          </cell>
          <cell r="J248" t="str">
            <v>-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2106000</v>
          </cell>
          <cell r="P248">
            <v>0</v>
          </cell>
          <cell r="Q248">
            <v>36</v>
          </cell>
          <cell r="R248">
            <v>18000</v>
          </cell>
          <cell r="S248">
            <v>19800</v>
          </cell>
          <cell r="T248">
            <v>713000</v>
          </cell>
          <cell r="U248" t="str">
            <v>6611130110001  001800</v>
          </cell>
          <cell r="V248">
            <v>36</v>
          </cell>
          <cell r="W248">
            <v>18000</v>
          </cell>
          <cell r="X248" t="str">
            <v>001980</v>
          </cell>
          <cell r="Y248">
            <v>2106000</v>
          </cell>
          <cell r="Z248">
            <v>36</v>
          </cell>
          <cell r="AA248">
            <v>58500</v>
          </cell>
        </row>
        <row r="249">
          <cell r="B249" t="str">
            <v>2012-607928</v>
          </cell>
          <cell r="C249" t="str">
            <v>001342755400000000</v>
          </cell>
          <cell r="D249" t="str">
            <v>KR 17E 40A 29S</v>
          </cell>
          <cell r="E249" t="str">
            <v>AAA0006USEA</v>
          </cell>
          <cell r="F249">
            <v>36</v>
          </cell>
          <cell r="G249">
            <v>58500</v>
          </cell>
          <cell r="H249">
            <v>0</v>
          </cell>
          <cell r="I249" t="str">
            <v>61</v>
          </cell>
          <cell r="J249" t="str">
            <v>-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2106000</v>
          </cell>
          <cell r="P249">
            <v>0</v>
          </cell>
          <cell r="Q249">
            <v>36</v>
          </cell>
          <cell r="R249">
            <v>18000</v>
          </cell>
          <cell r="S249">
            <v>19800</v>
          </cell>
          <cell r="T249">
            <v>713000</v>
          </cell>
          <cell r="U249" t="str">
            <v>6611130110001  001800</v>
          </cell>
          <cell r="V249">
            <v>36</v>
          </cell>
          <cell r="W249">
            <v>18000</v>
          </cell>
          <cell r="X249" t="str">
            <v>001980</v>
          </cell>
          <cell r="Y249">
            <v>2106000</v>
          </cell>
          <cell r="Z249">
            <v>36</v>
          </cell>
          <cell r="AA249">
            <v>58500</v>
          </cell>
        </row>
        <row r="250">
          <cell r="B250" t="str">
            <v>2012-607940</v>
          </cell>
          <cell r="C250" t="str">
            <v>001342760500000000</v>
          </cell>
          <cell r="D250" t="str">
            <v>CL 40B S 16A 78E</v>
          </cell>
          <cell r="E250" t="str">
            <v>AAA0006USNN</v>
          </cell>
          <cell r="F250">
            <v>36</v>
          </cell>
          <cell r="G250">
            <v>58500</v>
          </cell>
          <cell r="H250">
            <v>0</v>
          </cell>
          <cell r="I250" t="str">
            <v>61</v>
          </cell>
          <cell r="J250" t="str">
            <v>-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2106000</v>
          </cell>
          <cell r="P250">
            <v>0</v>
          </cell>
          <cell r="Q250">
            <v>36</v>
          </cell>
          <cell r="R250">
            <v>18000</v>
          </cell>
          <cell r="S250">
            <v>19800</v>
          </cell>
          <cell r="T250">
            <v>713000</v>
          </cell>
          <cell r="U250" t="str">
            <v>5727735152203 001800</v>
          </cell>
          <cell r="V250">
            <v>36</v>
          </cell>
          <cell r="W250">
            <v>18000</v>
          </cell>
          <cell r="X250" t="str">
            <v>001980</v>
          </cell>
          <cell r="Y250">
            <v>2106000</v>
          </cell>
          <cell r="Z250">
            <v>36</v>
          </cell>
          <cell r="AA250">
            <v>58500</v>
          </cell>
        </row>
        <row r="251">
          <cell r="B251" t="str">
            <v>2012-607943</v>
          </cell>
          <cell r="C251" t="str">
            <v>001342760600000000</v>
          </cell>
          <cell r="D251" t="str">
            <v>CL 40B S 16A 74E</v>
          </cell>
          <cell r="E251" t="str">
            <v>AAA0006USOE</v>
          </cell>
          <cell r="F251">
            <v>36</v>
          </cell>
          <cell r="G251">
            <v>58500</v>
          </cell>
          <cell r="H251">
            <v>0</v>
          </cell>
          <cell r="I251" t="str">
            <v>61</v>
          </cell>
          <cell r="J251" t="str">
            <v>-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2106000</v>
          </cell>
          <cell r="P251">
            <v>0</v>
          </cell>
          <cell r="Q251">
            <v>36</v>
          </cell>
          <cell r="R251">
            <v>18000</v>
          </cell>
          <cell r="S251">
            <v>19800</v>
          </cell>
          <cell r="T251">
            <v>713000</v>
          </cell>
          <cell r="U251" t="str">
            <v>6611130110001  001800</v>
          </cell>
          <cell r="V251">
            <v>36</v>
          </cell>
          <cell r="W251">
            <v>18000</v>
          </cell>
          <cell r="X251" t="str">
            <v>001980</v>
          </cell>
          <cell r="Y251">
            <v>2106000</v>
          </cell>
          <cell r="Z251">
            <v>36</v>
          </cell>
          <cell r="AA251">
            <v>58500</v>
          </cell>
        </row>
        <row r="252">
          <cell r="B252" t="str">
            <v>2012-607944</v>
          </cell>
          <cell r="C252" t="str">
            <v>001342760700000000</v>
          </cell>
          <cell r="D252" t="str">
            <v>CL 40B S 16A 70E</v>
          </cell>
          <cell r="E252" t="str">
            <v>AAA0006USPP</v>
          </cell>
          <cell r="F252">
            <v>36</v>
          </cell>
          <cell r="G252">
            <v>58500</v>
          </cell>
          <cell r="H252">
            <v>0</v>
          </cell>
          <cell r="I252" t="str">
            <v>61</v>
          </cell>
          <cell r="J252" t="str">
            <v>-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2106000</v>
          </cell>
          <cell r="P252">
            <v>0</v>
          </cell>
          <cell r="Q252">
            <v>36</v>
          </cell>
          <cell r="R252">
            <v>18000</v>
          </cell>
          <cell r="S252">
            <v>19800</v>
          </cell>
          <cell r="T252">
            <v>713000</v>
          </cell>
          <cell r="U252" t="str">
            <v>5727735152203 001800</v>
          </cell>
          <cell r="V252">
            <v>36</v>
          </cell>
          <cell r="W252">
            <v>18000</v>
          </cell>
          <cell r="X252" t="str">
            <v>001980</v>
          </cell>
          <cell r="Y252">
            <v>2106000</v>
          </cell>
          <cell r="Z252">
            <v>36</v>
          </cell>
          <cell r="AA252">
            <v>58500</v>
          </cell>
        </row>
        <row r="253">
          <cell r="B253" t="str">
            <v>2012-607945</v>
          </cell>
          <cell r="C253" t="str">
            <v>001342760800000000</v>
          </cell>
          <cell r="D253" t="str">
            <v>CL 40B S 16A 66E</v>
          </cell>
          <cell r="E253" t="str">
            <v>AAA0006USRU</v>
          </cell>
          <cell r="F253">
            <v>36</v>
          </cell>
          <cell r="G253">
            <v>58500</v>
          </cell>
          <cell r="H253">
            <v>0</v>
          </cell>
          <cell r="I253" t="str">
            <v>61</v>
          </cell>
          <cell r="J253" t="str">
            <v>-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2106000</v>
          </cell>
          <cell r="P253">
            <v>0</v>
          </cell>
          <cell r="Q253">
            <v>36</v>
          </cell>
          <cell r="R253">
            <v>18000</v>
          </cell>
          <cell r="S253">
            <v>19800</v>
          </cell>
          <cell r="T253">
            <v>713000</v>
          </cell>
          <cell r="U253" t="str">
            <v>5727735152203 001800</v>
          </cell>
          <cell r="V253">
            <v>36</v>
          </cell>
          <cell r="W253">
            <v>18000</v>
          </cell>
          <cell r="X253" t="str">
            <v>001980</v>
          </cell>
          <cell r="Y253">
            <v>2106000</v>
          </cell>
          <cell r="Z253">
            <v>36</v>
          </cell>
          <cell r="AA253">
            <v>58500</v>
          </cell>
        </row>
        <row r="254">
          <cell r="B254" t="str">
            <v>2012-607999</v>
          </cell>
          <cell r="C254" t="str">
            <v>001342755500000000</v>
          </cell>
          <cell r="D254" t="str">
            <v>KR 17E 40A 35S</v>
          </cell>
          <cell r="E254" t="str">
            <v>AAA0006USFT</v>
          </cell>
          <cell r="F254">
            <v>36</v>
          </cell>
          <cell r="G254">
            <v>58500</v>
          </cell>
          <cell r="H254">
            <v>0</v>
          </cell>
          <cell r="I254" t="str">
            <v>61</v>
          </cell>
          <cell r="J254" t="str">
            <v>-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2106000</v>
          </cell>
          <cell r="P254">
            <v>0</v>
          </cell>
          <cell r="Q254">
            <v>36</v>
          </cell>
          <cell r="R254">
            <v>18000</v>
          </cell>
          <cell r="S254">
            <v>19800</v>
          </cell>
          <cell r="T254">
            <v>713000</v>
          </cell>
          <cell r="U254" t="str">
            <v>6611130110001  001800</v>
          </cell>
          <cell r="V254">
            <v>36</v>
          </cell>
          <cell r="W254">
            <v>18000</v>
          </cell>
          <cell r="X254" t="str">
            <v>001980</v>
          </cell>
          <cell r="Y254">
            <v>2106000</v>
          </cell>
          <cell r="Z254">
            <v>36</v>
          </cell>
          <cell r="AA254">
            <v>58500</v>
          </cell>
        </row>
        <row r="255">
          <cell r="B255" t="str">
            <v>2012-608001</v>
          </cell>
          <cell r="C255" t="str">
            <v>001342755600000000</v>
          </cell>
          <cell r="D255" t="str">
            <v>KR 17E 40A 41S</v>
          </cell>
          <cell r="E255" t="str">
            <v>AAA0006USHY</v>
          </cell>
          <cell r="F255">
            <v>36</v>
          </cell>
          <cell r="G255">
            <v>58500</v>
          </cell>
          <cell r="H255">
            <v>0</v>
          </cell>
          <cell r="I255" t="str">
            <v>61</v>
          </cell>
          <cell r="J255" t="str">
            <v>-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2106000</v>
          </cell>
          <cell r="P255">
            <v>0</v>
          </cell>
          <cell r="Q255">
            <v>36</v>
          </cell>
          <cell r="R255">
            <v>18000</v>
          </cell>
          <cell r="S255">
            <v>19800</v>
          </cell>
          <cell r="T255">
            <v>713000</v>
          </cell>
          <cell r="U255" t="str">
            <v>6611130110001  001800</v>
          </cell>
          <cell r="V255">
            <v>36</v>
          </cell>
          <cell r="W255">
            <v>18000</v>
          </cell>
          <cell r="X255" t="str">
            <v>001980</v>
          </cell>
          <cell r="Y255">
            <v>2106000</v>
          </cell>
          <cell r="Z255">
            <v>36</v>
          </cell>
          <cell r="AA255">
            <v>58500</v>
          </cell>
        </row>
        <row r="256">
          <cell r="B256" t="str">
            <v>2012-608003</v>
          </cell>
          <cell r="C256" t="str">
            <v>001342760100000000</v>
          </cell>
          <cell r="D256" t="str">
            <v>KR 17E 40A 85S</v>
          </cell>
          <cell r="E256" t="str">
            <v>AAA0006USJH</v>
          </cell>
          <cell r="F256">
            <v>36</v>
          </cell>
          <cell r="G256">
            <v>114300</v>
          </cell>
          <cell r="H256">
            <v>0</v>
          </cell>
          <cell r="I256" t="str">
            <v>63</v>
          </cell>
          <cell r="J256" t="str">
            <v>-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4115000</v>
          </cell>
          <cell r="P256">
            <v>0</v>
          </cell>
          <cell r="Q256">
            <v>36</v>
          </cell>
          <cell r="R256">
            <v>10000</v>
          </cell>
          <cell r="S256">
            <v>10845</v>
          </cell>
          <cell r="T256">
            <v>390000</v>
          </cell>
          <cell r="U256" t="str">
            <v>5727735152203 001000</v>
          </cell>
          <cell r="V256">
            <v>36</v>
          </cell>
          <cell r="W256">
            <v>10000</v>
          </cell>
          <cell r="X256" t="str">
            <v>001085</v>
          </cell>
          <cell r="Y256">
            <v>4115000</v>
          </cell>
          <cell r="Z256">
            <v>36</v>
          </cell>
          <cell r="AA256">
            <v>114300</v>
          </cell>
        </row>
        <row r="257">
          <cell r="B257" t="str">
            <v>2012-608004</v>
          </cell>
          <cell r="C257" t="str">
            <v>001342760200000000</v>
          </cell>
          <cell r="D257" t="str">
            <v>CL 40B S 16A 90E</v>
          </cell>
          <cell r="E257" t="str">
            <v>AAA0006USKL</v>
          </cell>
          <cell r="F257">
            <v>36</v>
          </cell>
          <cell r="G257">
            <v>58500</v>
          </cell>
          <cell r="H257">
            <v>0</v>
          </cell>
          <cell r="I257" t="str">
            <v>61</v>
          </cell>
          <cell r="J257" t="str">
            <v>-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2106000</v>
          </cell>
          <cell r="P257">
            <v>0</v>
          </cell>
          <cell r="Q257">
            <v>36</v>
          </cell>
          <cell r="R257">
            <v>16000</v>
          </cell>
          <cell r="S257">
            <v>17982</v>
          </cell>
          <cell r="T257">
            <v>647000</v>
          </cell>
          <cell r="U257" t="str">
            <v>5736530110003 001600</v>
          </cell>
          <cell r="V257">
            <v>36</v>
          </cell>
          <cell r="W257">
            <v>16000</v>
          </cell>
          <cell r="X257" t="str">
            <v>001798</v>
          </cell>
          <cell r="Y257">
            <v>2106000</v>
          </cell>
          <cell r="Z257">
            <v>36</v>
          </cell>
          <cell r="AA257">
            <v>58500</v>
          </cell>
        </row>
        <row r="258">
          <cell r="B258" t="str">
            <v>2012-608006</v>
          </cell>
          <cell r="C258" t="str">
            <v>001342760300000000</v>
          </cell>
          <cell r="D258" t="str">
            <v>CL 40B S 16A 86E</v>
          </cell>
          <cell r="E258" t="str">
            <v>AAA0006USLW</v>
          </cell>
          <cell r="F258">
            <v>36</v>
          </cell>
          <cell r="G258">
            <v>58500</v>
          </cell>
          <cell r="H258">
            <v>0</v>
          </cell>
          <cell r="I258" t="str">
            <v>61</v>
          </cell>
          <cell r="J258" t="str">
            <v>-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2106000</v>
          </cell>
          <cell r="P258">
            <v>0</v>
          </cell>
          <cell r="Q258">
            <v>36</v>
          </cell>
          <cell r="R258">
            <v>16000</v>
          </cell>
          <cell r="S258">
            <v>18144</v>
          </cell>
          <cell r="T258">
            <v>653000</v>
          </cell>
          <cell r="U258" t="str">
            <v>5736530110003 001600</v>
          </cell>
          <cell r="V258">
            <v>36</v>
          </cell>
          <cell r="W258">
            <v>16000</v>
          </cell>
          <cell r="X258" t="str">
            <v>001816</v>
          </cell>
          <cell r="Y258">
            <v>2106000</v>
          </cell>
          <cell r="Z258">
            <v>36</v>
          </cell>
          <cell r="AA258">
            <v>58500</v>
          </cell>
        </row>
        <row r="259">
          <cell r="B259" t="str">
            <v>2012-608007</v>
          </cell>
          <cell r="C259" t="str">
            <v>001342760400000000</v>
          </cell>
          <cell r="D259" t="str">
            <v>CL 40B S 16A 82E</v>
          </cell>
          <cell r="E259" t="str">
            <v>AAA0006USMS</v>
          </cell>
          <cell r="F259">
            <v>36</v>
          </cell>
          <cell r="G259">
            <v>58500</v>
          </cell>
          <cell r="H259">
            <v>0</v>
          </cell>
          <cell r="I259" t="str">
            <v>61</v>
          </cell>
          <cell r="J259" t="str">
            <v>-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2106000</v>
          </cell>
          <cell r="P259">
            <v>0</v>
          </cell>
          <cell r="Q259">
            <v>36</v>
          </cell>
          <cell r="R259">
            <v>18000</v>
          </cell>
          <cell r="S259">
            <v>19800</v>
          </cell>
          <cell r="T259">
            <v>713000</v>
          </cell>
          <cell r="U259" t="str">
            <v>5727735152203 001800</v>
          </cell>
          <cell r="V259">
            <v>36</v>
          </cell>
          <cell r="W259">
            <v>18000</v>
          </cell>
          <cell r="X259" t="str">
            <v>001980</v>
          </cell>
          <cell r="Y259">
            <v>2106000</v>
          </cell>
          <cell r="Z259">
            <v>36</v>
          </cell>
          <cell r="AA259">
            <v>58500</v>
          </cell>
        </row>
        <row r="260">
          <cell r="B260" t="str">
            <v>2012-609545</v>
          </cell>
          <cell r="C260" t="str">
            <v>001342762600000000</v>
          </cell>
          <cell r="D260" t="str">
            <v>KR 16A E 40A 78S</v>
          </cell>
          <cell r="E260" t="str">
            <v>AAA0006UTMR</v>
          </cell>
          <cell r="F260">
            <v>34.1</v>
          </cell>
          <cell r="G260">
            <v>4500</v>
          </cell>
          <cell r="H260">
            <v>0</v>
          </cell>
          <cell r="I260" t="str">
            <v>63</v>
          </cell>
          <cell r="J260" t="str">
            <v>-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153000</v>
          </cell>
          <cell r="P260">
            <v>0</v>
          </cell>
          <cell r="Q260">
            <v>34.1</v>
          </cell>
          <cell r="R260" t="str">
            <v>ok</v>
          </cell>
          <cell r="S260">
            <v>4500</v>
          </cell>
          <cell r="T260">
            <v>153000</v>
          </cell>
          <cell r="U260" t="str">
            <v>5727735152203 000450</v>
          </cell>
          <cell r="V260">
            <v>34.1</v>
          </cell>
          <cell r="W260">
            <v>4500</v>
          </cell>
          <cell r="X260" t="str">
            <v>000450</v>
          </cell>
          <cell r="Y260">
            <v>153000</v>
          </cell>
          <cell r="Z260">
            <v>34.1</v>
          </cell>
          <cell r="AA260">
            <v>4500</v>
          </cell>
        </row>
        <row r="261">
          <cell r="B261" t="str">
            <v>2012-609547</v>
          </cell>
          <cell r="C261" t="str">
            <v>001342762700000000</v>
          </cell>
          <cell r="D261" t="str">
            <v>KR 16A E 40A 74S</v>
          </cell>
          <cell r="E261" t="str">
            <v>AAA0006UTNX</v>
          </cell>
          <cell r="F261">
            <v>33.4</v>
          </cell>
          <cell r="G261">
            <v>4500</v>
          </cell>
          <cell r="H261">
            <v>0</v>
          </cell>
          <cell r="I261" t="str">
            <v>63</v>
          </cell>
          <cell r="J261" t="str">
            <v>-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150000</v>
          </cell>
          <cell r="P261">
            <v>0</v>
          </cell>
          <cell r="Q261">
            <v>33.4</v>
          </cell>
          <cell r="R261" t="str">
            <v>ok</v>
          </cell>
          <cell r="S261">
            <v>4500</v>
          </cell>
          <cell r="T261">
            <v>150000</v>
          </cell>
          <cell r="U261" t="str">
            <v>5727735152203 000450</v>
          </cell>
          <cell r="V261">
            <v>33.4</v>
          </cell>
          <cell r="W261">
            <v>4500</v>
          </cell>
          <cell r="X261" t="str">
            <v>000450</v>
          </cell>
          <cell r="Y261">
            <v>150000</v>
          </cell>
          <cell r="Z261">
            <v>33.4</v>
          </cell>
          <cell r="AA261">
            <v>4500</v>
          </cell>
        </row>
        <row r="262">
          <cell r="B262" t="str">
            <v>2012-609552</v>
          </cell>
          <cell r="C262" t="str">
            <v>001342762800000000</v>
          </cell>
          <cell r="D262" t="str">
            <v>KR 16A E 40A 70S</v>
          </cell>
          <cell r="E262" t="str">
            <v>AAA0006UTOM</v>
          </cell>
          <cell r="F262">
            <v>32.6</v>
          </cell>
          <cell r="G262">
            <v>4500</v>
          </cell>
          <cell r="H262">
            <v>0</v>
          </cell>
          <cell r="I262" t="str">
            <v>63</v>
          </cell>
          <cell r="J262" t="str">
            <v>-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147000</v>
          </cell>
          <cell r="P262">
            <v>0</v>
          </cell>
          <cell r="Q262">
            <v>32.6</v>
          </cell>
          <cell r="R262" t="str">
            <v>ok</v>
          </cell>
          <cell r="S262">
            <v>4500</v>
          </cell>
          <cell r="T262">
            <v>147000</v>
          </cell>
          <cell r="U262" t="str">
            <v>5727735152203 000450</v>
          </cell>
          <cell r="V262">
            <v>32.6</v>
          </cell>
          <cell r="W262">
            <v>4500</v>
          </cell>
          <cell r="X262" t="str">
            <v>000450</v>
          </cell>
          <cell r="Y262">
            <v>147000</v>
          </cell>
          <cell r="Z262">
            <v>32.6</v>
          </cell>
          <cell r="AA262">
            <v>4500</v>
          </cell>
        </row>
        <row r="263">
          <cell r="B263" t="str">
            <v>2012-609603</v>
          </cell>
          <cell r="C263" t="str">
            <v>001342762900000000</v>
          </cell>
          <cell r="D263" t="str">
            <v>KR 16A E 40A 66S</v>
          </cell>
          <cell r="E263" t="str">
            <v>AAA0006UTPA</v>
          </cell>
          <cell r="F263">
            <v>31.900000000000002</v>
          </cell>
          <cell r="G263">
            <v>4500</v>
          </cell>
          <cell r="H263">
            <v>0</v>
          </cell>
          <cell r="I263" t="str">
            <v>63</v>
          </cell>
          <cell r="J263" t="str">
            <v>-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144000</v>
          </cell>
          <cell r="P263">
            <v>0</v>
          </cell>
          <cell r="Q263">
            <v>31.900000000000002</v>
          </cell>
          <cell r="R263" t="str">
            <v>ok</v>
          </cell>
          <cell r="S263">
            <v>4500</v>
          </cell>
          <cell r="T263">
            <v>144000</v>
          </cell>
          <cell r="U263" t="str">
            <v>5727735152203 000450</v>
          </cell>
          <cell r="V263">
            <v>31.900000000000002</v>
          </cell>
          <cell r="W263">
            <v>4500</v>
          </cell>
          <cell r="X263" t="str">
            <v>000450</v>
          </cell>
          <cell r="Y263">
            <v>144000</v>
          </cell>
          <cell r="Z263">
            <v>31.900000000000002</v>
          </cell>
          <cell r="AA263">
            <v>4500</v>
          </cell>
        </row>
        <row r="264">
          <cell r="B264" t="str">
            <v>2012-609608</v>
          </cell>
          <cell r="C264" t="str">
            <v>001342763000000000</v>
          </cell>
          <cell r="D264" t="str">
            <v>KR 16A E 40A 62S</v>
          </cell>
          <cell r="E264" t="str">
            <v>AAA0006UTRJ</v>
          </cell>
          <cell r="F264">
            <v>31.1</v>
          </cell>
          <cell r="G264">
            <v>20700</v>
          </cell>
          <cell r="H264">
            <v>0</v>
          </cell>
          <cell r="I264" t="str">
            <v>63</v>
          </cell>
          <cell r="J264" t="str">
            <v>-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644000</v>
          </cell>
          <cell r="P264">
            <v>0</v>
          </cell>
          <cell r="Q264">
            <v>31.1</v>
          </cell>
          <cell r="R264">
            <v>4500</v>
          </cell>
          <cell r="S264">
            <v>5454</v>
          </cell>
          <cell r="T264">
            <v>170000</v>
          </cell>
          <cell r="U264" t="str">
            <v>5727735152203 000450</v>
          </cell>
          <cell r="V264">
            <v>31.1</v>
          </cell>
          <cell r="W264">
            <v>4500</v>
          </cell>
          <cell r="X264" t="str">
            <v>000546</v>
          </cell>
          <cell r="Y264">
            <v>644000</v>
          </cell>
          <cell r="Z264">
            <v>31.1</v>
          </cell>
          <cell r="AA264">
            <v>20700</v>
          </cell>
        </row>
        <row r="265">
          <cell r="B265" t="str">
            <v>2012-609611</v>
          </cell>
          <cell r="C265" t="str">
            <v>001342763100000000</v>
          </cell>
          <cell r="D265" t="str">
            <v>KR 16A E 40A 58S</v>
          </cell>
          <cell r="E265" t="str">
            <v>AAA0006UTSY</v>
          </cell>
          <cell r="F265">
            <v>30.400000000000002</v>
          </cell>
          <cell r="G265">
            <v>73800</v>
          </cell>
          <cell r="H265">
            <v>0</v>
          </cell>
          <cell r="I265" t="str">
            <v>63</v>
          </cell>
          <cell r="J265" t="str">
            <v>-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2244000</v>
          </cell>
          <cell r="P265">
            <v>0</v>
          </cell>
          <cell r="Q265">
            <v>30.400000000000002</v>
          </cell>
          <cell r="R265">
            <v>4500</v>
          </cell>
          <cell r="S265">
            <v>8469</v>
          </cell>
          <cell r="T265">
            <v>257000</v>
          </cell>
          <cell r="U265" t="str">
            <v>5727735152203 000450</v>
          </cell>
          <cell r="V265">
            <v>30.400000000000002</v>
          </cell>
          <cell r="W265">
            <v>4500</v>
          </cell>
          <cell r="X265" t="str">
            <v>000851</v>
          </cell>
          <cell r="Y265">
            <v>2244000</v>
          </cell>
          <cell r="Z265">
            <v>30.400000000000002</v>
          </cell>
          <cell r="AA265">
            <v>73800</v>
          </cell>
        </row>
        <row r="266">
          <cell r="B266" t="str">
            <v>2012-609703</v>
          </cell>
          <cell r="C266" t="str">
            <v>001342694200000000</v>
          </cell>
          <cell r="D266" t="str">
            <v>CL 40B SUR 17A 35 ESTE</v>
          </cell>
          <cell r="E266" t="str">
            <v>AAA0006UBYN</v>
          </cell>
          <cell r="F266">
            <v>36</v>
          </cell>
          <cell r="G266">
            <v>58500</v>
          </cell>
          <cell r="H266">
            <v>0</v>
          </cell>
          <cell r="I266" t="str">
            <v>63</v>
          </cell>
          <cell r="J266" t="str">
            <v>-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2106000</v>
          </cell>
          <cell r="P266">
            <v>0</v>
          </cell>
          <cell r="Q266">
            <v>36</v>
          </cell>
          <cell r="R266">
            <v>18000</v>
          </cell>
          <cell r="S266">
            <v>19800</v>
          </cell>
          <cell r="T266">
            <v>713000</v>
          </cell>
          <cell r="U266" t="str">
            <v>6611130110001  001800</v>
          </cell>
          <cell r="V266">
            <v>36</v>
          </cell>
          <cell r="W266">
            <v>18000</v>
          </cell>
          <cell r="X266" t="str">
            <v>001980</v>
          </cell>
          <cell r="Y266">
            <v>2106000</v>
          </cell>
          <cell r="Z266">
            <v>36</v>
          </cell>
          <cell r="AA266">
            <v>58500</v>
          </cell>
        </row>
        <row r="267">
          <cell r="B267" t="str">
            <v>2012-609708</v>
          </cell>
          <cell r="C267" t="str">
            <v>001342694300000000</v>
          </cell>
          <cell r="D267" t="str">
            <v>CL 40B SUR 17A 39 ESTE</v>
          </cell>
          <cell r="E267" t="str">
            <v>AAA0006UBZE</v>
          </cell>
          <cell r="F267">
            <v>36</v>
          </cell>
          <cell r="G267">
            <v>58500</v>
          </cell>
          <cell r="H267">
            <v>0</v>
          </cell>
          <cell r="I267" t="str">
            <v>63</v>
          </cell>
          <cell r="J267" t="str">
            <v>-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2106000</v>
          </cell>
          <cell r="P267">
            <v>0</v>
          </cell>
          <cell r="Q267">
            <v>36</v>
          </cell>
          <cell r="R267">
            <v>18000</v>
          </cell>
          <cell r="S267">
            <v>19800</v>
          </cell>
          <cell r="T267">
            <v>713000</v>
          </cell>
          <cell r="U267" t="str">
            <v>6611130110001  001800</v>
          </cell>
          <cell r="V267">
            <v>36</v>
          </cell>
          <cell r="W267">
            <v>18000</v>
          </cell>
          <cell r="X267" t="str">
            <v>001980</v>
          </cell>
          <cell r="Y267">
            <v>2106000</v>
          </cell>
          <cell r="Z267">
            <v>36</v>
          </cell>
          <cell r="AA267">
            <v>58500</v>
          </cell>
        </row>
        <row r="268">
          <cell r="B268" t="str">
            <v>2012-609711</v>
          </cell>
          <cell r="C268" t="str">
            <v>001342694400000000</v>
          </cell>
          <cell r="D268" t="str">
            <v>CL 40B SUR 17A 43 ESTE</v>
          </cell>
          <cell r="E268" t="str">
            <v>AAA0006UCAF</v>
          </cell>
          <cell r="F268">
            <v>36</v>
          </cell>
          <cell r="G268">
            <v>58500</v>
          </cell>
          <cell r="H268">
            <v>0</v>
          </cell>
          <cell r="I268" t="str">
            <v>63</v>
          </cell>
          <cell r="J268" t="str">
            <v>-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2106000</v>
          </cell>
          <cell r="P268">
            <v>0</v>
          </cell>
          <cell r="Q268">
            <v>36</v>
          </cell>
          <cell r="R268">
            <v>18000</v>
          </cell>
          <cell r="S268">
            <v>19800</v>
          </cell>
          <cell r="T268">
            <v>713000</v>
          </cell>
          <cell r="U268" t="str">
            <v>6611130110001  001800</v>
          </cell>
          <cell r="V268">
            <v>36</v>
          </cell>
          <cell r="W268">
            <v>18000</v>
          </cell>
          <cell r="X268" t="str">
            <v>001980</v>
          </cell>
          <cell r="Y268">
            <v>2106000</v>
          </cell>
          <cell r="Z268">
            <v>36</v>
          </cell>
          <cell r="AA268">
            <v>58500</v>
          </cell>
        </row>
        <row r="269">
          <cell r="B269" t="str">
            <v>2012-609728</v>
          </cell>
          <cell r="C269" t="str">
            <v>001342763200000000</v>
          </cell>
          <cell r="D269" t="str">
            <v>CL 40 A BIS SUR 16 A 09 ESTE</v>
          </cell>
          <cell r="E269" t="str">
            <v>AAA0006UTTD</v>
          </cell>
          <cell r="F269">
            <v>36</v>
          </cell>
          <cell r="G269">
            <v>58500</v>
          </cell>
          <cell r="H269">
            <v>0</v>
          </cell>
          <cell r="I269" t="str">
            <v>61</v>
          </cell>
          <cell r="J269" t="str">
            <v>-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2106000</v>
          </cell>
          <cell r="P269">
            <v>0</v>
          </cell>
          <cell r="Q269">
            <v>36</v>
          </cell>
          <cell r="R269">
            <v>4500</v>
          </cell>
          <cell r="S269">
            <v>14049</v>
          </cell>
          <cell r="T269">
            <v>506000</v>
          </cell>
          <cell r="U269" t="str">
            <v>5727735152203 000450</v>
          </cell>
          <cell r="V269">
            <v>36</v>
          </cell>
          <cell r="W269">
            <v>4500</v>
          </cell>
          <cell r="X269" t="str">
            <v>001401</v>
          </cell>
          <cell r="Y269">
            <v>2106000</v>
          </cell>
          <cell r="Z269">
            <v>36</v>
          </cell>
          <cell r="AA269">
            <v>58500</v>
          </cell>
        </row>
        <row r="270">
          <cell r="B270" t="str">
            <v>2012-609765</v>
          </cell>
          <cell r="C270" t="str">
            <v>001342763300000000</v>
          </cell>
          <cell r="D270" t="str">
            <v>CL 40A BIS S 16A 11E</v>
          </cell>
          <cell r="E270" t="str">
            <v>AAA0006UTUH</v>
          </cell>
          <cell r="F270">
            <v>36</v>
          </cell>
          <cell r="G270">
            <v>58500</v>
          </cell>
          <cell r="H270">
            <v>0</v>
          </cell>
          <cell r="I270" t="str">
            <v>61</v>
          </cell>
          <cell r="J270" t="str">
            <v>-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2106000</v>
          </cell>
          <cell r="P270">
            <v>0</v>
          </cell>
          <cell r="Q270">
            <v>36</v>
          </cell>
          <cell r="R270">
            <v>18000</v>
          </cell>
          <cell r="S270">
            <v>19800</v>
          </cell>
          <cell r="T270">
            <v>713000</v>
          </cell>
          <cell r="U270" t="str">
            <v>5727735152203 001800</v>
          </cell>
          <cell r="V270">
            <v>36</v>
          </cell>
          <cell r="W270">
            <v>18000</v>
          </cell>
          <cell r="X270" t="str">
            <v>001980</v>
          </cell>
          <cell r="Y270">
            <v>2106000</v>
          </cell>
          <cell r="Z270">
            <v>36</v>
          </cell>
          <cell r="AA270">
            <v>58500</v>
          </cell>
        </row>
        <row r="271">
          <cell r="B271" t="str">
            <v>2012-609796</v>
          </cell>
          <cell r="C271" t="str">
            <v>001342694500000000</v>
          </cell>
          <cell r="D271" t="str">
            <v>CL 40B SUR 17A 47 ESTE</v>
          </cell>
          <cell r="E271" t="str">
            <v>AAA0006UCBR</v>
          </cell>
          <cell r="F271">
            <v>36</v>
          </cell>
          <cell r="G271">
            <v>58500</v>
          </cell>
          <cell r="H271">
            <v>0</v>
          </cell>
          <cell r="I271" t="str">
            <v>63</v>
          </cell>
          <cell r="J271" t="str">
            <v>-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2106000</v>
          </cell>
          <cell r="P271">
            <v>0</v>
          </cell>
          <cell r="Q271">
            <v>36</v>
          </cell>
          <cell r="R271">
            <v>18000</v>
          </cell>
          <cell r="S271">
            <v>19800</v>
          </cell>
          <cell r="T271">
            <v>713000</v>
          </cell>
          <cell r="U271" t="str">
            <v>6611130110001  001800</v>
          </cell>
          <cell r="V271">
            <v>36</v>
          </cell>
          <cell r="W271">
            <v>18000</v>
          </cell>
          <cell r="X271" t="str">
            <v>001980</v>
          </cell>
          <cell r="Y271">
            <v>2106000</v>
          </cell>
          <cell r="Z271">
            <v>36</v>
          </cell>
          <cell r="AA271">
            <v>58500</v>
          </cell>
        </row>
        <row r="272">
          <cell r="B272" t="str">
            <v>2012-609803</v>
          </cell>
          <cell r="C272" t="str">
            <v>001342694700000000</v>
          </cell>
          <cell r="D272" t="str">
            <v>CL 40B SUR 17A 55 ESTE</v>
          </cell>
          <cell r="E272" t="str">
            <v>AAA0006UCDM</v>
          </cell>
          <cell r="F272">
            <v>36</v>
          </cell>
          <cell r="G272">
            <v>58500</v>
          </cell>
          <cell r="H272">
            <v>0</v>
          </cell>
          <cell r="I272" t="str">
            <v>63</v>
          </cell>
          <cell r="J272" t="str">
            <v>-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2106000</v>
          </cell>
          <cell r="P272">
            <v>0</v>
          </cell>
          <cell r="Q272">
            <v>36</v>
          </cell>
          <cell r="R272">
            <v>18000</v>
          </cell>
          <cell r="S272">
            <v>19800</v>
          </cell>
          <cell r="T272">
            <v>713000</v>
          </cell>
          <cell r="U272" t="str">
            <v>6611130110001  001800</v>
          </cell>
          <cell r="V272">
            <v>36</v>
          </cell>
          <cell r="W272">
            <v>18000</v>
          </cell>
          <cell r="X272" t="str">
            <v>001980</v>
          </cell>
          <cell r="Y272">
            <v>2106000</v>
          </cell>
          <cell r="Z272">
            <v>36</v>
          </cell>
          <cell r="AA272">
            <v>58500</v>
          </cell>
        </row>
        <row r="273">
          <cell r="B273" t="str">
            <v>2012-609812</v>
          </cell>
          <cell r="C273" t="str">
            <v>001342694600000000</v>
          </cell>
          <cell r="D273" t="str">
            <v>CL 40B SUR 17A 51 ESTE</v>
          </cell>
          <cell r="E273" t="str">
            <v>AAA0006UCCX</v>
          </cell>
          <cell r="F273">
            <v>36</v>
          </cell>
          <cell r="G273">
            <v>58500</v>
          </cell>
          <cell r="H273">
            <v>0</v>
          </cell>
          <cell r="I273" t="str">
            <v>63</v>
          </cell>
          <cell r="J273" t="str">
            <v>-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2106000</v>
          </cell>
          <cell r="P273">
            <v>0</v>
          </cell>
          <cell r="Q273">
            <v>36</v>
          </cell>
          <cell r="R273">
            <v>18000</v>
          </cell>
          <cell r="S273">
            <v>19800</v>
          </cell>
          <cell r="T273">
            <v>713000</v>
          </cell>
          <cell r="U273" t="str">
            <v>6611130110001  001800</v>
          </cell>
          <cell r="V273">
            <v>36</v>
          </cell>
          <cell r="W273">
            <v>18000</v>
          </cell>
          <cell r="X273" t="str">
            <v>001980</v>
          </cell>
          <cell r="Y273">
            <v>2106000</v>
          </cell>
          <cell r="Z273">
            <v>36</v>
          </cell>
          <cell r="AA273">
            <v>58500</v>
          </cell>
        </row>
        <row r="274">
          <cell r="B274" t="str">
            <v>2012-609862</v>
          </cell>
          <cell r="C274" t="str">
            <v>001342740100000000</v>
          </cell>
          <cell r="D274" t="str">
            <v>KR 17E 40 93S</v>
          </cell>
          <cell r="E274" t="str">
            <v>AAA0006UMFT</v>
          </cell>
          <cell r="F274">
            <v>36</v>
          </cell>
          <cell r="G274">
            <v>58500</v>
          </cell>
          <cell r="H274">
            <v>0</v>
          </cell>
          <cell r="I274" t="str">
            <v>61</v>
          </cell>
          <cell r="J274" t="str">
            <v>-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2106000</v>
          </cell>
          <cell r="P274">
            <v>0</v>
          </cell>
          <cell r="Q274">
            <v>36</v>
          </cell>
          <cell r="R274">
            <v>18000</v>
          </cell>
          <cell r="S274">
            <v>19800</v>
          </cell>
          <cell r="T274">
            <v>713000</v>
          </cell>
          <cell r="U274" t="str">
            <v>6611130110001  001800</v>
          </cell>
          <cell r="V274">
            <v>36</v>
          </cell>
          <cell r="W274">
            <v>18000</v>
          </cell>
          <cell r="X274" t="str">
            <v>001980</v>
          </cell>
          <cell r="Y274">
            <v>2106000</v>
          </cell>
          <cell r="Z274">
            <v>36</v>
          </cell>
          <cell r="AA274">
            <v>58500</v>
          </cell>
        </row>
        <row r="275">
          <cell r="B275" t="str">
            <v>2012-609990</v>
          </cell>
          <cell r="C275" t="str">
            <v>001342744700000000</v>
          </cell>
          <cell r="D275" t="str">
            <v>CL 40BIS S 16A 79E</v>
          </cell>
          <cell r="E275" t="str">
            <v>AAA0006UOJH</v>
          </cell>
          <cell r="F275">
            <v>36</v>
          </cell>
          <cell r="G275">
            <v>58500</v>
          </cell>
          <cell r="H275">
            <v>0</v>
          </cell>
          <cell r="I275" t="str">
            <v>61</v>
          </cell>
          <cell r="J275" t="str">
            <v>-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2106000</v>
          </cell>
          <cell r="P275">
            <v>0</v>
          </cell>
          <cell r="Q275">
            <v>36</v>
          </cell>
          <cell r="R275">
            <v>18000</v>
          </cell>
          <cell r="S275">
            <v>19800</v>
          </cell>
          <cell r="T275">
            <v>713000</v>
          </cell>
          <cell r="U275" t="str">
            <v>6611130110001  001800</v>
          </cell>
          <cell r="V275">
            <v>36</v>
          </cell>
          <cell r="W275">
            <v>18000</v>
          </cell>
          <cell r="X275" t="str">
            <v>001980</v>
          </cell>
          <cell r="Y275">
            <v>2106000</v>
          </cell>
          <cell r="Z275">
            <v>36</v>
          </cell>
          <cell r="AA275">
            <v>58500</v>
          </cell>
        </row>
        <row r="276">
          <cell r="B276" t="str">
            <v>2012-610101</v>
          </cell>
          <cell r="C276" t="str">
            <v>001342744800000000</v>
          </cell>
          <cell r="D276" t="str">
            <v>CL 40BIS S 16A 83E</v>
          </cell>
          <cell r="E276" t="str">
            <v>AAA0006UOKL</v>
          </cell>
          <cell r="F276">
            <v>36</v>
          </cell>
          <cell r="G276">
            <v>58500</v>
          </cell>
          <cell r="H276">
            <v>0</v>
          </cell>
          <cell r="I276" t="str">
            <v>61</v>
          </cell>
          <cell r="J276" t="str">
            <v>-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2106000</v>
          </cell>
          <cell r="P276">
            <v>0</v>
          </cell>
          <cell r="Q276">
            <v>36</v>
          </cell>
          <cell r="R276">
            <v>18000</v>
          </cell>
          <cell r="S276">
            <v>19800</v>
          </cell>
          <cell r="T276">
            <v>713000</v>
          </cell>
          <cell r="U276" t="str">
            <v>6611130110001  001800</v>
          </cell>
          <cell r="V276">
            <v>36</v>
          </cell>
          <cell r="W276">
            <v>18000</v>
          </cell>
          <cell r="X276" t="str">
            <v>001980</v>
          </cell>
          <cell r="Y276">
            <v>2106000</v>
          </cell>
          <cell r="Z276">
            <v>36</v>
          </cell>
          <cell r="AA276">
            <v>58500</v>
          </cell>
        </row>
        <row r="277">
          <cell r="B277" t="str">
            <v>2012-610108</v>
          </cell>
          <cell r="C277" t="str">
            <v>001342744900000000</v>
          </cell>
          <cell r="D277" t="str">
            <v>CL 40BIS S 16A 87E</v>
          </cell>
          <cell r="E277" t="str">
            <v>AAA0006UOLW</v>
          </cell>
          <cell r="F277">
            <v>36</v>
          </cell>
          <cell r="G277">
            <v>58500</v>
          </cell>
          <cell r="H277">
            <v>0</v>
          </cell>
          <cell r="I277" t="str">
            <v>61</v>
          </cell>
          <cell r="J277" t="str">
            <v>-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2106000</v>
          </cell>
          <cell r="P277">
            <v>0</v>
          </cell>
          <cell r="Q277">
            <v>36</v>
          </cell>
          <cell r="R277">
            <v>18000</v>
          </cell>
          <cell r="S277">
            <v>19800</v>
          </cell>
          <cell r="T277">
            <v>713000</v>
          </cell>
          <cell r="U277" t="str">
            <v>6611130110001  001800</v>
          </cell>
          <cell r="V277">
            <v>36</v>
          </cell>
          <cell r="W277">
            <v>18000</v>
          </cell>
          <cell r="X277" t="str">
            <v>001980</v>
          </cell>
          <cell r="Y277">
            <v>2106000</v>
          </cell>
          <cell r="Z277">
            <v>36</v>
          </cell>
          <cell r="AA277">
            <v>58500</v>
          </cell>
        </row>
        <row r="278">
          <cell r="B278" t="str">
            <v>2012-610113</v>
          </cell>
          <cell r="C278" t="str">
            <v>001342745000000000</v>
          </cell>
          <cell r="D278" t="str">
            <v>KR 17E 40 51S</v>
          </cell>
          <cell r="E278" t="str">
            <v>AAA0006UOMS</v>
          </cell>
          <cell r="F278">
            <v>36</v>
          </cell>
          <cell r="G278">
            <v>58500</v>
          </cell>
          <cell r="H278">
            <v>0</v>
          </cell>
          <cell r="I278" t="str">
            <v>61</v>
          </cell>
          <cell r="J278" t="str">
            <v>-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2106000</v>
          </cell>
          <cell r="P278">
            <v>0</v>
          </cell>
          <cell r="Q278">
            <v>36</v>
          </cell>
          <cell r="R278">
            <v>18000</v>
          </cell>
          <cell r="S278">
            <v>19800</v>
          </cell>
          <cell r="T278">
            <v>713000</v>
          </cell>
          <cell r="U278" t="str">
            <v>6611130110001  001800</v>
          </cell>
          <cell r="V278">
            <v>36</v>
          </cell>
          <cell r="W278">
            <v>18000</v>
          </cell>
          <cell r="X278" t="str">
            <v>001980</v>
          </cell>
          <cell r="Y278">
            <v>2106000</v>
          </cell>
          <cell r="Z278">
            <v>36</v>
          </cell>
          <cell r="AA278">
            <v>58500</v>
          </cell>
        </row>
        <row r="279">
          <cell r="B279" t="str">
            <v>2012-610179</v>
          </cell>
          <cell r="C279" t="str">
            <v>001342745100000000</v>
          </cell>
          <cell r="D279" t="str">
            <v>KR 17E 40 57S</v>
          </cell>
          <cell r="E279" t="str">
            <v>AAA0006UONN</v>
          </cell>
          <cell r="F279">
            <v>36</v>
          </cell>
          <cell r="G279">
            <v>58500</v>
          </cell>
          <cell r="H279">
            <v>0</v>
          </cell>
          <cell r="I279" t="str">
            <v>61</v>
          </cell>
          <cell r="J279" t="str">
            <v>-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2106000</v>
          </cell>
          <cell r="P279">
            <v>0</v>
          </cell>
          <cell r="Q279">
            <v>36</v>
          </cell>
          <cell r="R279">
            <v>18000</v>
          </cell>
          <cell r="S279">
            <v>19800</v>
          </cell>
          <cell r="T279">
            <v>713000</v>
          </cell>
          <cell r="U279" t="str">
            <v>6611130110001  001800</v>
          </cell>
          <cell r="V279">
            <v>36</v>
          </cell>
          <cell r="W279">
            <v>18000</v>
          </cell>
          <cell r="X279" t="str">
            <v>001980</v>
          </cell>
          <cell r="Y279">
            <v>2106000</v>
          </cell>
          <cell r="Z279">
            <v>36</v>
          </cell>
          <cell r="AA279">
            <v>58500</v>
          </cell>
        </row>
        <row r="280">
          <cell r="B280" t="str">
            <v>2012-610182</v>
          </cell>
          <cell r="C280" t="str">
            <v>001342745200000000</v>
          </cell>
          <cell r="D280" t="str">
            <v>KR 17E 40 63S</v>
          </cell>
          <cell r="E280" t="str">
            <v>AAA0006UOOE</v>
          </cell>
          <cell r="F280">
            <v>36</v>
          </cell>
          <cell r="G280">
            <v>58500</v>
          </cell>
          <cell r="H280">
            <v>0</v>
          </cell>
          <cell r="I280" t="str">
            <v>61</v>
          </cell>
          <cell r="J280" t="str">
            <v>-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2106000</v>
          </cell>
          <cell r="P280">
            <v>0</v>
          </cell>
          <cell r="Q280">
            <v>36</v>
          </cell>
          <cell r="R280">
            <v>18000</v>
          </cell>
          <cell r="S280">
            <v>19800</v>
          </cell>
          <cell r="T280">
            <v>713000</v>
          </cell>
          <cell r="U280" t="str">
            <v>6611130110001  001800</v>
          </cell>
          <cell r="V280">
            <v>36</v>
          </cell>
          <cell r="W280">
            <v>18000</v>
          </cell>
          <cell r="X280" t="str">
            <v>001980</v>
          </cell>
          <cell r="Y280">
            <v>2106000</v>
          </cell>
          <cell r="Z280">
            <v>36</v>
          </cell>
          <cell r="AA280">
            <v>58500</v>
          </cell>
        </row>
        <row r="281">
          <cell r="B281" t="str">
            <v>2012-610240</v>
          </cell>
          <cell r="C281" t="str">
            <v>001342745300000000</v>
          </cell>
          <cell r="D281" t="str">
            <v>KR 17E 40 69S</v>
          </cell>
          <cell r="E281" t="str">
            <v>AAA0006UOPP</v>
          </cell>
          <cell r="F281">
            <v>36</v>
          </cell>
          <cell r="G281">
            <v>58500</v>
          </cell>
          <cell r="H281">
            <v>0</v>
          </cell>
          <cell r="I281" t="str">
            <v>61</v>
          </cell>
          <cell r="J281" t="str">
            <v>-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2106000</v>
          </cell>
          <cell r="P281">
            <v>0</v>
          </cell>
          <cell r="Q281">
            <v>36</v>
          </cell>
          <cell r="R281">
            <v>18000</v>
          </cell>
          <cell r="S281">
            <v>19800</v>
          </cell>
          <cell r="T281">
            <v>713000</v>
          </cell>
          <cell r="U281" t="str">
            <v>6611130110001  001800</v>
          </cell>
          <cell r="V281">
            <v>36</v>
          </cell>
          <cell r="W281">
            <v>18000</v>
          </cell>
          <cell r="X281" t="str">
            <v>001980</v>
          </cell>
          <cell r="Y281">
            <v>2106000</v>
          </cell>
          <cell r="Z281">
            <v>36</v>
          </cell>
          <cell r="AA281">
            <v>58500</v>
          </cell>
        </row>
        <row r="282">
          <cell r="B282" t="str">
            <v>2012-610243</v>
          </cell>
          <cell r="C282" t="str">
            <v>001342745400000000</v>
          </cell>
          <cell r="D282" t="str">
            <v>KR 17E 40 75S</v>
          </cell>
          <cell r="E282" t="str">
            <v>AAA0006UORU</v>
          </cell>
          <cell r="F282">
            <v>36</v>
          </cell>
          <cell r="G282">
            <v>58500</v>
          </cell>
          <cell r="H282">
            <v>0</v>
          </cell>
          <cell r="I282" t="str">
            <v>61</v>
          </cell>
          <cell r="J282" t="str">
            <v>-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2106000</v>
          </cell>
          <cell r="P282">
            <v>0</v>
          </cell>
          <cell r="Q282">
            <v>36</v>
          </cell>
          <cell r="R282">
            <v>18000</v>
          </cell>
          <cell r="S282">
            <v>19800</v>
          </cell>
          <cell r="T282">
            <v>713000</v>
          </cell>
          <cell r="U282" t="str">
            <v>6611130110001  001800</v>
          </cell>
          <cell r="V282">
            <v>36</v>
          </cell>
          <cell r="W282">
            <v>18000</v>
          </cell>
          <cell r="X282" t="str">
            <v>001980</v>
          </cell>
          <cell r="Y282">
            <v>2106000</v>
          </cell>
          <cell r="Z282">
            <v>36</v>
          </cell>
          <cell r="AA282">
            <v>58500</v>
          </cell>
        </row>
        <row r="283">
          <cell r="B283" t="str">
            <v>2012-610246</v>
          </cell>
          <cell r="C283" t="str">
            <v>001342745500000000</v>
          </cell>
          <cell r="D283" t="str">
            <v>KR 17E 40 81S</v>
          </cell>
          <cell r="E283" t="str">
            <v>AAA0006UOSK</v>
          </cell>
          <cell r="F283">
            <v>36</v>
          </cell>
          <cell r="G283">
            <v>58500</v>
          </cell>
          <cell r="H283">
            <v>0</v>
          </cell>
          <cell r="I283" t="str">
            <v>61</v>
          </cell>
          <cell r="J283" t="str">
            <v>-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2106000</v>
          </cell>
          <cell r="P283">
            <v>0</v>
          </cell>
          <cell r="Q283">
            <v>36</v>
          </cell>
          <cell r="R283">
            <v>18000</v>
          </cell>
          <cell r="S283">
            <v>19800</v>
          </cell>
          <cell r="T283">
            <v>713000</v>
          </cell>
          <cell r="U283" t="str">
            <v>6611130110001  001800</v>
          </cell>
          <cell r="V283">
            <v>36</v>
          </cell>
          <cell r="W283">
            <v>18000</v>
          </cell>
          <cell r="X283" t="str">
            <v>001980</v>
          </cell>
          <cell r="Y283">
            <v>2106000</v>
          </cell>
          <cell r="Z283">
            <v>36</v>
          </cell>
          <cell r="AA283">
            <v>58500</v>
          </cell>
        </row>
        <row r="284">
          <cell r="B284" t="str">
            <v>2012-610250</v>
          </cell>
          <cell r="C284" t="str">
            <v>001342745600000000</v>
          </cell>
          <cell r="D284" t="str">
            <v>KR 17E 40 87S</v>
          </cell>
          <cell r="E284" t="str">
            <v>AAA0006UOTO</v>
          </cell>
          <cell r="F284">
            <v>36</v>
          </cell>
          <cell r="G284">
            <v>58500</v>
          </cell>
          <cell r="H284">
            <v>0</v>
          </cell>
          <cell r="I284" t="str">
            <v>61</v>
          </cell>
          <cell r="J284" t="str">
            <v>-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2106000</v>
          </cell>
          <cell r="P284">
            <v>0</v>
          </cell>
          <cell r="Q284">
            <v>36</v>
          </cell>
          <cell r="R284">
            <v>18000</v>
          </cell>
          <cell r="S284">
            <v>19800</v>
          </cell>
          <cell r="T284">
            <v>713000</v>
          </cell>
          <cell r="U284" t="str">
            <v>6611130110001  001800</v>
          </cell>
          <cell r="V284">
            <v>36</v>
          </cell>
          <cell r="W284">
            <v>18000</v>
          </cell>
          <cell r="X284" t="str">
            <v>001980</v>
          </cell>
          <cell r="Y284">
            <v>2106000</v>
          </cell>
          <cell r="Z284">
            <v>36</v>
          </cell>
          <cell r="AA284">
            <v>58500</v>
          </cell>
        </row>
        <row r="285">
          <cell r="B285" t="str">
            <v>2012-610252</v>
          </cell>
          <cell r="C285" t="str">
            <v>001342750100000000</v>
          </cell>
          <cell r="D285" t="str">
            <v>KR 17E 40A 49S</v>
          </cell>
          <cell r="E285" t="str">
            <v>AAA0006UOUZ</v>
          </cell>
          <cell r="F285">
            <v>36</v>
          </cell>
          <cell r="G285">
            <v>58500</v>
          </cell>
          <cell r="H285">
            <v>0</v>
          </cell>
          <cell r="I285" t="str">
            <v>61</v>
          </cell>
          <cell r="J285" t="str">
            <v>-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2106000</v>
          </cell>
          <cell r="P285">
            <v>0</v>
          </cell>
          <cell r="Q285">
            <v>36</v>
          </cell>
          <cell r="R285">
            <v>18000</v>
          </cell>
          <cell r="S285">
            <v>19800</v>
          </cell>
          <cell r="T285">
            <v>713000</v>
          </cell>
          <cell r="U285" t="str">
            <v>6611130110001  001800</v>
          </cell>
          <cell r="V285">
            <v>36</v>
          </cell>
          <cell r="W285">
            <v>18000</v>
          </cell>
          <cell r="X285" t="str">
            <v>001980</v>
          </cell>
          <cell r="Y285">
            <v>2106000</v>
          </cell>
          <cell r="Z285">
            <v>36</v>
          </cell>
          <cell r="AA285">
            <v>58500</v>
          </cell>
        </row>
        <row r="286">
          <cell r="B286" t="str">
            <v>2012-611779</v>
          </cell>
          <cell r="C286" t="str">
            <v>001342753800000000</v>
          </cell>
          <cell r="D286" t="str">
            <v>CL 40AS 16A 43E</v>
          </cell>
          <cell r="E286" t="str">
            <v>AAA0006URMR</v>
          </cell>
          <cell r="F286">
            <v>36</v>
          </cell>
          <cell r="G286">
            <v>58500</v>
          </cell>
          <cell r="H286">
            <v>0</v>
          </cell>
          <cell r="I286" t="str">
            <v>61</v>
          </cell>
          <cell r="J286" t="str">
            <v>-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2106000</v>
          </cell>
          <cell r="P286">
            <v>0</v>
          </cell>
          <cell r="Q286">
            <v>36</v>
          </cell>
          <cell r="R286">
            <v>18000</v>
          </cell>
          <cell r="S286">
            <v>19800</v>
          </cell>
          <cell r="T286">
            <v>713000</v>
          </cell>
          <cell r="U286" t="str">
            <v>6611130110001  001800</v>
          </cell>
          <cell r="V286">
            <v>36</v>
          </cell>
          <cell r="W286">
            <v>18000</v>
          </cell>
          <cell r="X286" t="str">
            <v>001980</v>
          </cell>
          <cell r="Y286">
            <v>2106000</v>
          </cell>
          <cell r="Z286">
            <v>36</v>
          </cell>
          <cell r="AA286">
            <v>58500</v>
          </cell>
        </row>
        <row r="287">
          <cell r="B287" t="str">
            <v>2012-611780</v>
          </cell>
          <cell r="C287" t="str">
            <v>001342753700000000</v>
          </cell>
          <cell r="D287" t="str">
            <v>CL 40AS 16A 39E</v>
          </cell>
          <cell r="E287" t="str">
            <v>AAA0006URLF</v>
          </cell>
          <cell r="F287">
            <v>36</v>
          </cell>
          <cell r="G287">
            <v>58500</v>
          </cell>
          <cell r="H287">
            <v>0</v>
          </cell>
          <cell r="I287" t="str">
            <v>61</v>
          </cell>
          <cell r="J287" t="str">
            <v>-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2106000</v>
          </cell>
          <cell r="P287">
            <v>0</v>
          </cell>
          <cell r="Q287">
            <v>36</v>
          </cell>
          <cell r="R287">
            <v>18000</v>
          </cell>
          <cell r="S287">
            <v>19800</v>
          </cell>
          <cell r="T287">
            <v>713000</v>
          </cell>
          <cell r="U287" t="str">
            <v>6611130110001  001800</v>
          </cell>
          <cell r="V287">
            <v>36</v>
          </cell>
          <cell r="W287">
            <v>18000</v>
          </cell>
          <cell r="X287" t="str">
            <v>001980</v>
          </cell>
          <cell r="Y287">
            <v>2106000</v>
          </cell>
          <cell r="Z287">
            <v>36</v>
          </cell>
          <cell r="AA287">
            <v>58500</v>
          </cell>
        </row>
        <row r="288">
          <cell r="B288" t="str">
            <v>2012-611781</v>
          </cell>
          <cell r="C288" t="str">
            <v>001342753600000000</v>
          </cell>
          <cell r="D288" t="str">
            <v>CL 40AS 16A 35E</v>
          </cell>
          <cell r="E288" t="str">
            <v>AAA0006URKC</v>
          </cell>
          <cell r="F288">
            <v>36</v>
          </cell>
          <cell r="G288">
            <v>58500</v>
          </cell>
          <cell r="H288">
            <v>0</v>
          </cell>
          <cell r="I288" t="str">
            <v>61</v>
          </cell>
          <cell r="J288" t="str">
            <v>-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2106000</v>
          </cell>
          <cell r="P288">
            <v>0</v>
          </cell>
          <cell r="Q288">
            <v>36</v>
          </cell>
          <cell r="R288">
            <v>18000</v>
          </cell>
          <cell r="S288">
            <v>19800</v>
          </cell>
          <cell r="T288">
            <v>713000</v>
          </cell>
          <cell r="U288" t="str">
            <v>6611130110001  001800</v>
          </cell>
          <cell r="V288">
            <v>36</v>
          </cell>
          <cell r="W288">
            <v>18000</v>
          </cell>
          <cell r="X288" t="str">
            <v>001980</v>
          </cell>
          <cell r="Y288">
            <v>2106000</v>
          </cell>
          <cell r="Z288">
            <v>36</v>
          </cell>
          <cell r="AA288">
            <v>58500</v>
          </cell>
        </row>
        <row r="289">
          <cell r="B289" t="str">
            <v>2012-611782</v>
          </cell>
          <cell r="C289" t="str">
            <v>001342753500000000</v>
          </cell>
          <cell r="D289" t="str">
            <v>CL 40AS 16A 31E</v>
          </cell>
          <cell r="E289" t="str">
            <v>AAA0006URJZ</v>
          </cell>
          <cell r="F289">
            <v>36</v>
          </cell>
          <cell r="G289">
            <v>58500</v>
          </cell>
          <cell r="H289">
            <v>0</v>
          </cell>
          <cell r="I289" t="str">
            <v>61</v>
          </cell>
          <cell r="J289" t="str">
            <v>-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2106000</v>
          </cell>
          <cell r="P289">
            <v>0</v>
          </cell>
          <cell r="Q289">
            <v>36</v>
          </cell>
          <cell r="R289">
            <v>18000</v>
          </cell>
          <cell r="S289">
            <v>19800</v>
          </cell>
          <cell r="T289">
            <v>713000</v>
          </cell>
          <cell r="U289" t="str">
            <v>6611130110001  001800</v>
          </cell>
          <cell r="V289">
            <v>36</v>
          </cell>
          <cell r="W289">
            <v>18000</v>
          </cell>
          <cell r="X289" t="str">
            <v>001980</v>
          </cell>
          <cell r="Y289">
            <v>2106000</v>
          </cell>
          <cell r="Z289">
            <v>36</v>
          </cell>
          <cell r="AA289">
            <v>58500</v>
          </cell>
        </row>
        <row r="290">
          <cell r="B290" t="str">
            <v>2012-611784</v>
          </cell>
          <cell r="C290" t="str">
            <v>001342753400000000</v>
          </cell>
          <cell r="D290" t="str">
            <v>CL 40AS 16A 27E</v>
          </cell>
          <cell r="E290" t="str">
            <v>AAA0006URHK</v>
          </cell>
          <cell r="F290">
            <v>36</v>
          </cell>
          <cell r="G290">
            <v>58500</v>
          </cell>
          <cell r="H290">
            <v>0</v>
          </cell>
          <cell r="I290" t="str">
            <v>61</v>
          </cell>
          <cell r="J290" t="str">
            <v>-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2106000</v>
          </cell>
          <cell r="P290">
            <v>0</v>
          </cell>
          <cell r="Q290">
            <v>36</v>
          </cell>
          <cell r="R290">
            <v>18000</v>
          </cell>
          <cell r="S290">
            <v>19800</v>
          </cell>
          <cell r="T290">
            <v>713000</v>
          </cell>
          <cell r="U290" t="str">
            <v>6611130110001  001800</v>
          </cell>
          <cell r="V290">
            <v>36</v>
          </cell>
          <cell r="W290">
            <v>18000</v>
          </cell>
          <cell r="X290" t="str">
            <v>001980</v>
          </cell>
          <cell r="Y290">
            <v>2106000</v>
          </cell>
          <cell r="Z290">
            <v>36</v>
          </cell>
          <cell r="AA290">
            <v>58500</v>
          </cell>
        </row>
        <row r="291">
          <cell r="B291" t="str">
            <v>2012-611786</v>
          </cell>
          <cell r="C291" t="str">
            <v>001342753300000000</v>
          </cell>
          <cell r="D291" t="str">
            <v>CL 40AS 16A 23E</v>
          </cell>
          <cell r="E291" t="str">
            <v>AAA0006URFZ</v>
          </cell>
          <cell r="F291">
            <v>36</v>
          </cell>
          <cell r="G291">
            <v>58500</v>
          </cell>
          <cell r="H291">
            <v>0</v>
          </cell>
          <cell r="I291" t="str">
            <v>61</v>
          </cell>
          <cell r="J291" t="str">
            <v>-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2106000</v>
          </cell>
          <cell r="P291">
            <v>0</v>
          </cell>
          <cell r="Q291">
            <v>36</v>
          </cell>
          <cell r="R291">
            <v>18000</v>
          </cell>
          <cell r="S291">
            <v>19800</v>
          </cell>
          <cell r="T291">
            <v>713000</v>
          </cell>
          <cell r="U291" t="str">
            <v>6611130110001  001800</v>
          </cell>
          <cell r="V291">
            <v>36</v>
          </cell>
          <cell r="W291">
            <v>18000</v>
          </cell>
          <cell r="X291" t="str">
            <v>001980</v>
          </cell>
          <cell r="Y291">
            <v>2106000</v>
          </cell>
          <cell r="Z291">
            <v>36</v>
          </cell>
          <cell r="AA291">
            <v>58500</v>
          </cell>
        </row>
        <row r="292">
          <cell r="B292" t="str">
            <v>2012-611789</v>
          </cell>
          <cell r="C292" t="str">
            <v>001342753200000000</v>
          </cell>
          <cell r="D292" t="str">
            <v>CL 40AS 16A 19E</v>
          </cell>
          <cell r="E292" t="str">
            <v>AAA0006UREP</v>
          </cell>
          <cell r="F292">
            <v>36</v>
          </cell>
          <cell r="G292">
            <v>58500</v>
          </cell>
          <cell r="H292">
            <v>0</v>
          </cell>
          <cell r="I292" t="str">
            <v>61</v>
          </cell>
          <cell r="J292" t="str">
            <v>-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2106000</v>
          </cell>
          <cell r="P292">
            <v>0</v>
          </cell>
          <cell r="Q292">
            <v>36</v>
          </cell>
          <cell r="R292">
            <v>18000</v>
          </cell>
          <cell r="S292">
            <v>19800</v>
          </cell>
          <cell r="T292">
            <v>713000</v>
          </cell>
          <cell r="U292" t="str">
            <v>6611130110001  001800</v>
          </cell>
          <cell r="V292">
            <v>36</v>
          </cell>
          <cell r="W292">
            <v>18000</v>
          </cell>
          <cell r="X292" t="str">
            <v>001980</v>
          </cell>
          <cell r="Y292">
            <v>2106000</v>
          </cell>
          <cell r="Z292">
            <v>36</v>
          </cell>
          <cell r="AA292">
            <v>58500</v>
          </cell>
        </row>
        <row r="293">
          <cell r="B293" t="str">
            <v>2012-611790</v>
          </cell>
          <cell r="C293" t="str">
            <v>001342753100000000</v>
          </cell>
          <cell r="D293" t="str">
            <v>CL 40AS 16A 15E</v>
          </cell>
          <cell r="E293" t="str">
            <v>AAA0006URDE</v>
          </cell>
          <cell r="F293">
            <v>36</v>
          </cell>
          <cell r="G293">
            <v>58500</v>
          </cell>
          <cell r="H293">
            <v>0</v>
          </cell>
          <cell r="I293" t="str">
            <v>61</v>
          </cell>
          <cell r="J293" t="str">
            <v>-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2106000</v>
          </cell>
          <cell r="P293">
            <v>0</v>
          </cell>
          <cell r="Q293">
            <v>36</v>
          </cell>
          <cell r="R293">
            <v>18000</v>
          </cell>
          <cell r="S293">
            <v>19800</v>
          </cell>
          <cell r="T293">
            <v>713000</v>
          </cell>
          <cell r="U293" t="str">
            <v>6611130110001  001800</v>
          </cell>
          <cell r="V293">
            <v>36</v>
          </cell>
          <cell r="W293">
            <v>18000</v>
          </cell>
          <cell r="X293" t="str">
            <v>001980</v>
          </cell>
          <cell r="Y293">
            <v>2106000</v>
          </cell>
          <cell r="Z293">
            <v>36</v>
          </cell>
          <cell r="AA293">
            <v>58500</v>
          </cell>
        </row>
        <row r="294">
          <cell r="B294" t="str">
            <v>2012-611849</v>
          </cell>
          <cell r="C294" t="str">
            <v>001342753000000000</v>
          </cell>
          <cell r="D294" t="str">
            <v>CL 40AS 16A 11E</v>
          </cell>
          <cell r="E294" t="str">
            <v>AAA0006URCN</v>
          </cell>
          <cell r="F294">
            <v>36</v>
          </cell>
          <cell r="G294">
            <v>58500</v>
          </cell>
          <cell r="H294">
            <v>0</v>
          </cell>
          <cell r="I294" t="str">
            <v>61</v>
          </cell>
          <cell r="J294" t="str">
            <v>-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2106000</v>
          </cell>
          <cell r="P294">
            <v>0</v>
          </cell>
          <cell r="Q294">
            <v>36</v>
          </cell>
          <cell r="R294">
            <v>18000</v>
          </cell>
          <cell r="S294">
            <v>19800</v>
          </cell>
          <cell r="T294">
            <v>713000</v>
          </cell>
          <cell r="U294" t="str">
            <v>6611130110001  001800</v>
          </cell>
          <cell r="V294">
            <v>36</v>
          </cell>
          <cell r="W294">
            <v>18000</v>
          </cell>
          <cell r="X294" t="str">
            <v>001980</v>
          </cell>
          <cell r="Y294">
            <v>2106000</v>
          </cell>
          <cell r="Z294">
            <v>36</v>
          </cell>
          <cell r="AA294">
            <v>58500</v>
          </cell>
        </row>
        <row r="295">
          <cell r="B295" t="str">
            <v>2012-611883</v>
          </cell>
          <cell r="C295" t="str">
            <v>001342752900000000</v>
          </cell>
          <cell r="D295" t="str">
            <v>KR 16A ESTE 40A 06 SUR</v>
          </cell>
          <cell r="E295" t="str">
            <v>AAA0006URBS</v>
          </cell>
          <cell r="F295">
            <v>42.5</v>
          </cell>
          <cell r="G295">
            <v>58500</v>
          </cell>
          <cell r="H295">
            <v>0</v>
          </cell>
          <cell r="I295" t="str">
            <v>61</v>
          </cell>
          <cell r="J295" t="str">
            <v>-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2486000</v>
          </cell>
          <cell r="P295">
            <v>0</v>
          </cell>
          <cell r="Q295">
            <v>42.5</v>
          </cell>
          <cell r="R295">
            <v>18000</v>
          </cell>
          <cell r="S295">
            <v>19800</v>
          </cell>
          <cell r="T295">
            <v>842000</v>
          </cell>
          <cell r="U295" t="str">
            <v>6611130110001  001800</v>
          </cell>
          <cell r="V295">
            <v>42.5</v>
          </cell>
          <cell r="W295">
            <v>18000</v>
          </cell>
          <cell r="X295" t="str">
            <v>001980</v>
          </cell>
          <cell r="Y295">
            <v>2486000</v>
          </cell>
          <cell r="Z295">
            <v>42.5</v>
          </cell>
          <cell r="AA295">
            <v>58500</v>
          </cell>
        </row>
        <row r="296">
          <cell r="B296" t="str">
            <v>2012-611886</v>
          </cell>
          <cell r="C296" t="str">
            <v>001342752800000000</v>
          </cell>
          <cell r="D296" t="str">
            <v>KR 16A ESTE 40A 12 SUR</v>
          </cell>
          <cell r="E296" t="str">
            <v>AAA0006URAW</v>
          </cell>
          <cell r="F296">
            <v>43.2</v>
          </cell>
          <cell r="G296">
            <v>58500</v>
          </cell>
          <cell r="H296">
            <v>0</v>
          </cell>
          <cell r="I296" t="str">
            <v>61</v>
          </cell>
          <cell r="J296" t="str">
            <v>-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2527000</v>
          </cell>
          <cell r="P296">
            <v>0</v>
          </cell>
          <cell r="Q296">
            <v>43.2</v>
          </cell>
          <cell r="R296">
            <v>18000</v>
          </cell>
          <cell r="S296">
            <v>19800</v>
          </cell>
          <cell r="T296">
            <v>855000</v>
          </cell>
          <cell r="U296" t="str">
            <v>6611130110001  001800</v>
          </cell>
          <cell r="V296">
            <v>43.2</v>
          </cell>
          <cell r="W296">
            <v>18000</v>
          </cell>
          <cell r="X296" t="str">
            <v>001980</v>
          </cell>
          <cell r="Y296">
            <v>2527000</v>
          </cell>
          <cell r="Z296">
            <v>43.2</v>
          </cell>
          <cell r="AA296">
            <v>58500</v>
          </cell>
        </row>
        <row r="297">
          <cell r="B297" t="str">
            <v>2012-611887</v>
          </cell>
          <cell r="C297" t="str">
            <v>001342752700000000</v>
          </cell>
          <cell r="D297" t="str">
            <v>KR 16A ESTE 40A 18 SUR</v>
          </cell>
          <cell r="E297" t="str">
            <v>AAA0006UPZE</v>
          </cell>
          <cell r="F297">
            <v>44</v>
          </cell>
          <cell r="G297">
            <v>58500</v>
          </cell>
          <cell r="H297">
            <v>0</v>
          </cell>
          <cell r="I297" t="str">
            <v>61</v>
          </cell>
          <cell r="J297" t="str">
            <v>-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2574000</v>
          </cell>
          <cell r="P297">
            <v>0</v>
          </cell>
          <cell r="Q297">
            <v>44</v>
          </cell>
          <cell r="R297">
            <v>18000</v>
          </cell>
          <cell r="S297">
            <v>19800</v>
          </cell>
          <cell r="T297">
            <v>871000</v>
          </cell>
          <cell r="U297" t="str">
            <v>6611130110001  001800</v>
          </cell>
          <cell r="V297">
            <v>44</v>
          </cell>
          <cell r="W297">
            <v>18000</v>
          </cell>
          <cell r="X297" t="str">
            <v>001980</v>
          </cell>
          <cell r="Y297">
            <v>2574000</v>
          </cell>
          <cell r="Z297">
            <v>44</v>
          </cell>
          <cell r="AA297">
            <v>58500</v>
          </cell>
        </row>
        <row r="298">
          <cell r="B298" t="str">
            <v>2012-611888</v>
          </cell>
          <cell r="C298" t="str">
            <v>001342752600000000</v>
          </cell>
          <cell r="D298" t="str">
            <v>KR 16A ESTE 40A 24 SUR</v>
          </cell>
          <cell r="E298" t="str">
            <v>AAA0006UPYN</v>
          </cell>
          <cell r="F298">
            <v>44.7</v>
          </cell>
          <cell r="G298">
            <v>58500</v>
          </cell>
          <cell r="H298">
            <v>0</v>
          </cell>
          <cell r="I298" t="str">
            <v>61</v>
          </cell>
          <cell r="J298" t="str">
            <v>-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2615000</v>
          </cell>
          <cell r="P298">
            <v>0</v>
          </cell>
          <cell r="Q298">
            <v>44.7</v>
          </cell>
          <cell r="R298">
            <v>18000</v>
          </cell>
          <cell r="S298">
            <v>19800</v>
          </cell>
          <cell r="T298">
            <v>885000</v>
          </cell>
          <cell r="U298" t="str">
            <v>6611130110001  001800</v>
          </cell>
          <cell r="V298">
            <v>44.7</v>
          </cell>
          <cell r="W298">
            <v>18000</v>
          </cell>
          <cell r="X298" t="str">
            <v>001980</v>
          </cell>
          <cell r="Y298">
            <v>2615000</v>
          </cell>
          <cell r="Z298">
            <v>44.7</v>
          </cell>
          <cell r="AA298">
            <v>58500</v>
          </cell>
        </row>
        <row r="299">
          <cell r="B299" t="str">
            <v>2012-611892</v>
          </cell>
          <cell r="C299" t="str">
            <v>001342752500000000</v>
          </cell>
          <cell r="D299" t="str">
            <v>KR 16A ESTE 40A 30 SUR</v>
          </cell>
          <cell r="E299" t="str">
            <v>AAA0006UPXS</v>
          </cell>
          <cell r="F299">
            <v>45.5</v>
          </cell>
          <cell r="G299">
            <v>58500</v>
          </cell>
          <cell r="H299">
            <v>0</v>
          </cell>
          <cell r="I299" t="str">
            <v>61</v>
          </cell>
          <cell r="J299" t="str">
            <v>-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2662000</v>
          </cell>
          <cell r="P299">
            <v>0</v>
          </cell>
          <cell r="Q299">
            <v>45.5</v>
          </cell>
          <cell r="R299">
            <v>18000</v>
          </cell>
          <cell r="S299">
            <v>19800</v>
          </cell>
          <cell r="T299">
            <v>901000</v>
          </cell>
          <cell r="U299" t="str">
            <v>6611130110001  001800</v>
          </cell>
          <cell r="V299">
            <v>45.5</v>
          </cell>
          <cell r="W299">
            <v>18000</v>
          </cell>
          <cell r="X299" t="str">
            <v>001980</v>
          </cell>
          <cell r="Y299">
            <v>2662000</v>
          </cell>
          <cell r="Z299">
            <v>45.5</v>
          </cell>
          <cell r="AA299">
            <v>58500</v>
          </cell>
        </row>
        <row r="300">
          <cell r="B300" t="str">
            <v>2012-611894</v>
          </cell>
          <cell r="C300" t="str">
            <v>001342752400000000</v>
          </cell>
          <cell r="D300" t="str">
            <v>KR 16A ESTE 40A 36 SUR</v>
          </cell>
          <cell r="E300" t="str">
            <v>AAA0006UPWW</v>
          </cell>
          <cell r="F300">
            <v>46.2</v>
          </cell>
          <cell r="G300">
            <v>58500</v>
          </cell>
          <cell r="H300">
            <v>0</v>
          </cell>
          <cell r="I300" t="str">
            <v>61</v>
          </cell>
          <cell r="J300" t="str">
            <v>-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2703000</v>
          </cell>
          <cell r="P300">
            <v>0</v>
          </cell>
          <cell r="Q300">
            <v>46.2</v>
          </cell>
          <cell r="R300">
            <v>18000</v>
          </cell>
          <cell r="S300">
            <v>19800</v>
          </cell>
          <cell r="T300">
            <v>915000</v>
          </cell>
          <cell r="U300" t="str">
            <v>6611130110001  001800</v>
          </cell>
          <cell r="V300">
            <v>46.2</v>
          </cell>
          <cell r="W300">
            <v>18000</v>
          </cell>
          <cell r="X300" t="str">
            <v>001980</v>
          </cell>
          <cell r="Y300">
            <v>2703000</v>
          </cell>
          <cell r="Z300">
            <v>46.2</v>
          </cell>
          <cell r="AA300">
            <v>58500</v>
          </cell>
        </row>
        <row r="301">
          <cell r="B301" t="str">
            <v>2012-611925</v>
          </cell>
          <cell r="C301" t="str">
            <v>001342752300000000</v>
          </cell>
          <cell r="D301" t="str">
            <v>KR 16A ESTE 40A 42 SUR</v>
          </cell>
          <cell r="E301" t="str">
            <v>AAA0006UPUH</v>
          </cell>
          <cell r="F301">
            <v>47</v>
          </cell>
          <cell r="G301">
            <v>58500</v>
          </cell>
          <cell r="H301">
            <v>0</v>
          </cell>
          <cell r="I301" t="str">
            <v>61</v>
          </cell>
          <cell r="J301" t="str">
            <v>-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2750000</v>
          </cell>
          <cell r="P301">
            <v>0</v>
          </cell>
          <cell r="Q301">
            <v>47</v>
          </cell>
          <cell r="R301">
            <v>16000</v>
          </cell>
          <cell r="S301">
            <v>17910</v>
          </cell>
          <cell r="T301">
            <v>842000</v>
          </cell>
          <cell r="U301" t="str">
            <v>5727735152203 001600</v>
          </cell>
          <cell r="V301">
            <v>47</v>
          </cell>
          <cell r="W301">
            <v>16000</v>
          </cell>
          <cell r="X301" t="str">
            <v>001790</v>
          </cell>
          <cell r="Y301">
            <v>2750000</v>
          </cell>
          <cell r="Z301">
            <v>47</v>
          </cell>
          <cell r="AA301">
            <v>58500</v>
          </cell>
        </row>
        <row r="302">
          <cell r="B302" t="str">
            <v>2012-611927</v>
          </cell>
          <cell r="C302" t="str">
            <v>001342752200000000</v>
          </cell>
          <cell r="D302" t="str">
            <v>KR 16A ESTE 40A 48 SUR</v>
          </cell>
          <cell r="E302" t="str">
            <v>AAA0006UPTD</v>
          </cell>
          <cell r="F302">
            <v>47.7</v>
          </cell>
          <cell r="G302">
            <v>58500</v>
          </cell>
          <cell r="H302">
            <v>0</v>
          </cell>
          <cell r="I302" t="str">
            <v>61</v>
          </cell>
          <cell r="J302" t="str">
            <v>-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2790000</v>
          </cell>
          <cell r="P302">
            <v>0</v>
          </cell>
          <cell r="Q302">
            <v>47.7</v>
          </cell>
          <cell r="R302">
            <v>14000</v>
          </cell>
          <cell r="S302">
            <v>16380</v>
          </cell>
          <cell r="T302">
            <v>781000</v>
          </cell>
          <cell r="U302" t="str">
            <v>5727735152203 001400</v>
          </cell>
          <cell r="V302">
            <v>47.7</v>
          </cell>
          <cell r="W302">
            <v>14000</v>
          </cell>
          <cell r="X302" t="str">
            <v>001640</v>
          </cell>
          <cell r="Y302">
            <v>2790000</v>
          </cell>
          <cell r="Z302">
            <v>47.7</v>
          </cell>
          <cell r="AA302">
            <v>58500</v>
          </cell>
        </row>
        <row r="303">
          <cell r="B303" t="str">
            <v>2012-611929</v>
          </cell>
          <cell r="C303" t="str">
            <v>001342752000000000</v>
          </cell>
          <cell r="D303" t="str">
            <v>CL 40A BIS S 16A 18E</v>
          </cell>
          <cell r="E303" t="str">
            <v>AAA0006UPRJ</v>
          </cell>
          <cell r="F303">
            <v>36</v>
          </cell>
          <cell r="G303">
            <v>58500</v>
          </cell>
          <cell r="H303">
            <v>0</v>
          </cell>
          <cell r="I303" t="str">
            <v>61</v>
          </cell>
          <cell r="J303" t="str">
            <v>-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2106000</v>
          </cell>
          <cell r="P303">
            <v>0</v>
          </cell>
          <cell r="Q303">
            <v>36</v>
          </cell>
          <cell r="R303">
            <v>18000</v>
          </cell>
          <cell r="S303">
            <v>19800</v>
          </cell>
          <cell r="T303">
            <v>713000</v>
          </cell>
          <cell r="U303" t="str">
            <v>6611130110001  001800</v>
          </cell>
          <cell r="V303">
            <v>36</v>
          </cell>
          <cell r="W303">
            <v>18000</v>
          </cell>
          <cell r="X303" t="str">
            <v>001980</v>
          </cell>
          <cell r="Y303">
            <v>2106000</v>
          </cell>
          <cell r="Z303">
            <v>36</v>
          </cell>
          <cell r="AA303">
            <v>58500</v>
          </cell>
        </row>
        <row r="304">
          <cell r="B304" t="str">
            <v>2012-611931</v>
          </cell>
          <cell r="C304" t="str">
            <v>001342751900000000</v>
          </cell>
          <cell r="D304" t="str">
            <v>CL 40A BIS S 16A 22E</v>
          </cell>
          <cell r="E304" t="str">
            <v>AAA0006UPPA</v>
          </cell>
          <cell r="F304">
            <v>36</v>
          </cell>
          <cell r="G304">
            <v>58500</v>
          </cell>
          <cell r="H304">
            <v>0</v>
          </cell>
          <cell r="I304" t="str">
            <v>61</v>
          </cell>
          <cell r="J304" t="str">
            <v>-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2106000</v>
          </cell>
          <cell r="P304">
            <v>0</v>
          </cell>
          <cell r="Q304">
            <v>36</v>
          </cell>
          <cell r="R304">
            <v>18000</v>
          </cell>
          <cell r="S304">
            <v>19800</v>
          </cell>
          <cell r="T304">
            <v>713000</v>
          </cell>
          <cell r="U304" t="str">
            <v>6611130110001  001800</v>
          </cell>
          <cell r="V304">
            <v>36</v>
          </cell>
          <cell r="W304">
            <v>18000</v>
          </cell>
          <cell r="X304" t="str">
            <v>001980</v>
          </cell>
          <cell r="Y304">
            <v>2106000</v>
          </cell>
          <cell r="Z304">
            <v>36</v>
          </cell>
          <cell r="AA304">
            <v>58500</v>
          </cell>
        </row>
        <row r="305">
          <cell r="B305" t="str">
            <v>2012-611933</v>
          </cell>
          <cell r="C305" t="str">
            <v>001342751800000000</v>
          </cell>
          <cell r="D305" t="str">
            <v>CL 40A BIS S 16A 26E</v>
          </cell>
          <cell r="E305" t="str">
            <v>AAA0006UPOM</v>
          </cell>
          <cell r="F305">
            <v>36</v>
          </cell>
          <cell r="G305">
            <v>58500</v>
          </cell>
          <cell r="H305">
            <v>0</v>
          </cell>
          <cell r="I305" t="str">
            <v>61</v>
          </cell>
          <cell r="J305" t="str">
            <v>-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2106000</v>
          </cell>
          <cell r="P305">
            <v>0</v>
          </cell>
          <cell r="Q305">
            <v>36</v>
          </cell>
          <cell r="R305">
            <v>18000</v>
          </cell>
          <cell r="S305">
            <v>19800</v>
          </cell>
          <cell r="T305">
            <v>713000</v>
          </cell>
          <cell r="U305" t="str">
            <v>6611130110001  001800</v>
          </cell>
          <cell r="V305">
            <v>36</v>
          </cell>
          <cell r="W305">
            <v>18000</v>
          </cell>
          <cell r="X305" t="str">
            <v>001980</v>
          </cell>
          <cell r="Y305">
            <v>2106000</v>
          </cell>
          <cell r="Z305">
            <v>36</v>
          </cell>
          <cell r="AA305">
            <v>58500</v>
          </cell>
        </row>
        <row r="306">
          <cell r="B306" t="str">
            <v>2012-611934</v>
          </cell>
          <cell r="C306" t="str">
            <v>001342751700000000</v>
          </cell>
          <cell r="D306" t="str">
            <v>CL 40A BIS S 16A 30E</v>
          </cell>
          <cell r="E306" t="str">
            <v>AAA0006UPNX</v>
          </cell>
          <cell r="F306">
            <v>36</v>
          </cell>
          <cell r="G306">
            <v>58500</v>
          </cell>
          <cell r="H306">
            <v>0</v>
          </cell>
          <cell r="I306" t="str">
            <v>62</v>
          </cell>
          <cell r="J306" t="str">
            <v>-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2106000</v>
          </cell>
          <cell r="P306">
            <v>0</v>
          </cell>
          <cell r="Q306">
            <v>36</v>
          </cell>
          <cell r="R306">
            <v>18000</v>
          </cell>
          <cell r="S306">
            <v>19800</v>
          </cell>
          <cell r="T306">
            <v>713000</v>
          </cell>
          <cell r="U306" t="str">
            <v>6611130110001  001800</v>
          </cell>
          <cell r="V306">
            <v>36</v>
          </cell>
          <cell r="W306">
            <v>18000</v>
          </cell>
          <cell r="X306" t="str">
            <v>001980</v>
          </cell>
          <cell r="Y306">
            <v>2106000</v>
          </cell>
          <cell r="Z306">
            <v>36</v>
          </cell>
          <cell r="AA306">
            <v>58500</v>
          </cell>
        </row>
        <row r="307">
          <cell r="B307" t="str">
            <v>2012-611935</v>
          </cell>
          <cell r="C307" t="str">
            <v>001342751600000000</v>
          </cell>
          <cell r="D307" t="str">
            <v>CL 40A BIS S 16A 34E</v>
          </cell>
          <cell r="E307" t="str">
            <v>AAA0006UPMR</v>
          </cell>
          <cell r="F307">
            <v>36</v>
          </cell>
          <cell r="G307">
            <v>58500</v>
          </cell>
          <cell r="H307">
            <v>0</v>
          </cell>
          <cell r="I307" t="str">
            <v>61</v>
          </cell>
          <cell r="J307" t="str">
            <v>-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2106000</v>
          </cell>
          <cell r="P307">
            <v>0</v>
          </cell>
          <cell r="Q307">
            <v>36</v>
          </cell>
          <cell r="R307">
            <v>18000</v>
          </cell>
          <cell r="S307">
            <v>19800</v>
          </cell>
          <cell r="T307">
            <v>713000</v>
          </cell>
          <cell r="U307" t="str">
            <v>6611130110001  001800</v>
          </cell>
          <cell r="V307">
            <v>36</v>
          </cell>
          <cell r="W307">
            <v>18000</v>
          </cell>
          <cell r="X307" t="str">
            <v>001980</v>
          </cell>
          <cell r="Y307">
            <v>2106000</v>
          </cell>
          <cell r="Z307">
            <v>36</v>
          </cell>
          <cell r="AA307">
            <v>58500</v>
          </cell>
        </row>
        <row r="308">
          <cell r="B308" t="str">
            <v>2012-611977</v>
          </cell>
          <cell r="C308" t="str">
            <v>001342751500000000</v>
          </cell>
          <cell r="D308" t="str">
            <v>CL 40A BIS S 16A 38E</v>
          </cell>
          <cell r="E308" t="str">
            <v>AAA0006UPLF</v>
          </cell>
          <cell r="F308">
            <v>36</v>
          </cell>
          <cell r="G308">
            <v>58500</v>
          </cell>
          <cell r="H308">
            <v>0</v>
          </cell>
          <cell r="I308" t="str">
            <v>61</v>
          </cell>
          <cell r="J308" t="str">
            <v>-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2106000</v>
          </cell>
          <cell r="P308">
            <v>0</v>
          </cell>
          <cell r="Q308">
            <v>36</v>
          </cell>
          <cell r="R308">
            <v>18000</v>
          </cell>
          <cell r="S308">
            <v>19800</v>
          </cell>
          <cell r="T308">
            <v>713000</v>
          </cell>
          <cell r="U308" t="str">
            <v>6611130110001  001800</v>
          </cell>
          <cell r="V308">
            <v>36</v>
          </cell>
          <cell r="W308">
            <v>18000</v>
          </cell>
          <cell r="X308" t="str">
            <v>001980</v>
          </cell>
          <cell r="Y308">
            <v>2106000</v>
          </cell>
          <cell r="Z308">
            <v>36</v>
          </cell>
          <cell r="AA308">
            <v>58500</v>
          </cell>
        </row>
        <row r="309">
          <cell r="B309" t="str">
            <v>2012-611984</v>
          </cell>
          <cell r="C309" t="str">
            <v>001342751400000000</v>
          </cell>
          <cell r="D309" t="str">
            <v>CL 40A BIS S 16A 42E</v>
          </cell>
          <cell r="E309" t="str">
            <v>AAA0006UPKC</v>
          </cell>
          <cell r="F309">
            <v>36</v>
          </cell>
          <cell r="G309">
            <v>58500</v>
          </cell>
          <cell r="H309">
            <v>0</v>
          </cell>
          <cell r="I309" t="str">
            <v>61</v>
          </cell>
          <cell r="J309" t="str">
            <v>-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2106000</v>
          </cell>
          <cell r="P309">
            <v>0</v>
          </cell>
          <cell r="Q309">
            <v>36</v>
          </cell>
          <cell r="R309">
            <v>18000</v>
          </cell>
          <cell r="S309">
            <v>19800</v>
          </cell>
          <cell r="T309">
            <v>713000</v>
          </cell>
          <cell r="U309" t="str">
            <v>6611130110001  001800</v>
          </cell>
          <cell r="V309">
            <v>36</v>
          </cell>
          <cell r="W309">
            <v>18000</v>
          </cell>
          <cell r="X309" t="str">
            <v>001980</v>
          </cell>
          <cell r="Y309">
            <v>2106000</v>
          </cell>
          <cell r="Z309">
            <v>36</v>
          </cell>
          <cell r="AA309">
            <v>58500</v>
          </cell>
        </row>
        <row r="310">
          <cell r="B310" t="str">
            <v>2012-611994</v>
          </cell>
          <cell r="C310" t="str">
            <v>001342751300000000</v>
          </cell>
          <cell r="D310" t="str">
            <v>CL 40A BIS S 16A 46E</v>
          </cell>
          <cell r="E310" t="str">
            <v>AAA0006UPJZ</v>
          </cell>
          <cell r="F310">
            <v>36</v>
          </cell>
          <cell r="G310">
            <v>58500</v>
          </cell>
          <cell r="H310">
            <v>0</v>
          </cell>
          <cell r="I310" t="str">
            <v>61</v>
          </cell>
          <cell r="J310" t="str">
            <v>-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2106000</v>
          </cell>
          <cell r="P310">
            <v>0</v>
          </cell>
          <cell r="Q310">
            <v>36</v>
          </cell>
          <cell r="R310">
            <v>18000</v>
          </cell>
          <cell r="S310">
            <v>19800</v>
          </cell>
          <cell r="T310">
            <v>713000</v>
          </cell>
          <cell r="U310" t="str">
            <v>6611130110001  001800</v>
          </cell>
          <cell r="V310">
            <v>36</v>
          </cell>
          <cell r="W310">
            <v>18000</v>
          </cell>
          <cell r="X310" t="str">
            <v>001980</v>
          </cell>
          <cell r="Y310">
            <v>2106000</v>
          </cell>
          <cell r="Z310">
            <v>36</v>
          </cell>
          <cell r="AA310">
            <v>58500</v>
          </cell>
        </row>
        <row r="311">
          <cell r="B311" t="str">
            <v>2012-612021</v>
          </cell>
          <cell r="C311" t="str">
            <v>001342751200000000</v>
          </cell>
          <cell r="D311" t="str">
            <v>CL 40A BIS S 16A 50E</v>
          </cell>
          <cell r="E311" t="str">
            <v>AAA0006UPHK</v>
          </cell>
          <cell r="F311">
            <v>36</v>
          </cell>
          <cell r="G311">
            <v>58500</v>
          </cell>
          <cell r="H311">
            <v>0</v>
          </cell>
          <cell r="I311" t="str">
            <v>61</v>
          </cell>
          <cell r="J311" t="str">
            <v>-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2106000</v>
          </cell>
          <cell r="P311">
            <v>0</v>
          </cell>
          <cell r="Q311">
            <v>36</v>
          </cell>
          <cell r="R311">
            <v>18000</v>
          </cell>
          <cell r="S311">
            <v>19800</v>
          </cell>
          <cell r="T311">
            <v>713000</v>
          </cell>
          <cell r="U311" t="str">
            <v>6611130110001  001800</v>
          </cell>
          <cell r="V311">
            <v>36</v>
          </cell>
          <cell r="W311">
            <v>18000</v>
          </cell>
          <cell r="X311" t="str">
            <v>001980</v>
          </cell>
          <cell r="Y311">
            <v>2106000</v>
          </cell>
          <cell r="Z311">
            <v>36</v>
          </cell>
          <cell r="AA311">
            <v>58500</v>
          </cell>
        </row>
        <row r="312">
          <cell r="B312" t="str">
            <v>2012-612024</v>
          </cell>
          <cell r="C312" t="str">
            <v>001342751100000000</v>
          </cell>
          <cell r="D312" t="str">
            <v>CL 40A BIS S 16A 54E</v>
          </cell>
          <cell r="E312" t="str">
            <v>AAA0006UPFZ</v>
          </cell>
          <cell r="F312">
            <v>36</v>
          </cell>
          <cell r="G312">
            <v>58500</v>
          </cell>
          <cell r="H312">
            <v>0</v>
          </cell>
          <cell r="I312" t="str">
            <v>61</v>
          </cell>
          <cell r="J312" t="str">
            <v>-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2106000</v>
          </cell>
          <cell r="P312">
            <v>0</v>
          </cell>
          <cell r="Q312">
            <v>36</v>
          </cell>
          <cell r="R312">
            <v>18000</v>
          </cell>
          <cell r="S312">
            <v>19800</v>
          </cell>
          <cell r="T312">
            <v>713000</v>
          </cell>
          <cell r="U312" t="str">
            <v>6611130110001  001800</v>
          </cell>
          <cell r="V312">
            <v>36</v>
          </cell>
          <cell r="W312">
            <v>18000</v>
          </cell>
          <cell r="X312" t="str">
            <v>001980</v>
          </cell>
          <cell r="Y312">
            <v>2106000</v>
          </cell>
          <cell r="Z312">
            <v>36</v>
          </cell>
          <cell r="AA312">
            <v>58500</v>
          </cell>
        </row>
        <row r="313">
          <cell r="B313" t="str">
            <v>2012-612059</v>
          </cell>
          <cell r="C313" t="str">
            <v>001342751000000000</v>
          </cell>
          <cell r="D313" t="str">
            <v>CL 40A BIS S 16A 58E</v>
          </cell>
          <cell r="E313" t="str">
            <v>AAA0006UPEP</v>
          </cell>
          <cell r="F313">
            <v>36</v>
          </cell>
          <cell r="G313">
            <v>58500</v>
          </cell>
          <cell r="H313">
            <v>0</v>
          </cell>
          <cell r="I313" t="str">
            <v>61</v>
          </cell>
          <cell r="J313" t="str">
            <v>-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2106000</v>
          </cell>
          <cell r="P313">
            <v>0</v>
          </cell>
          <cell r="Q313">
            <v>36</v>
          </cell>
          <cell r="R313">
            <v>18000</v>
          </cell>
          <cell r="S313">
            <v>19800</v>
          </cell>
          <cell r="T313">
            <v>713000</v>
          </cell>
          <cell r="U313" t="str">
            <v>6611130110001  001800</v>
          </cell>
          <cell r="V313">
            <v>36</v>
          </cell>
          <cell r="W313">
            <v>18000</v>
          </cell>
          <cell r="X313" t="str">
            <v>001980</v>
          </cell>
          <cell r="Y313">
            <v>2106000</v>
          </cell>
          <cell r="Z313">
            <v>36</v>
          </cell>
          <cell r="AA313">
            <v>58500</v>
          </cell>
        </row>
        <row r="314">
          <cell r="B314" t="str">
            <v>2012-612069</v>
          </cell>
          <cell r="C314" t="str">
            <v>001342750900000000</v>
          </cell>
          <cell r="D314" t="str">
            <v>CL 40A BIS S 16A 62E</v>
          </cell>
          <cell r="E314" t="str">
            <v>AAA0006UPDE</v>
          </cell>
          <cell r="F314">
            <v>36</v>
          </cell>
          <cell r="G314">
            <v>58500</v>
          </cell>
          <cell r="H314">
            <v>0</v>
          </cell>
          <cell r="I314" t="str">
            <v>61</v>
          </cell>
          <cell r="J314" t="str">
            <v>-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2106000</v>
          </cell>
          <cell r="P314">
            <v>0</v>
          </cell>
          <cell r="Q314">
            <v>36</v>
          </cell>
          <cell r="R314">
            <v>18000</v>
          </cell>
          <cell r="S314">
            <v>19800</v>
          </cell>
          <cell r="T314">
            <v>713000</v>
          </cell>
          <cell r="U314" t="str">
            <v>6611130110001  001800</v>
          </cell>
          <cell r="V314">
            <v>36</v>
          </cell>
          <cell r="W314">
            <v>18000</v>
          </cell>
          <cell r="X314" t="str">
            <v>001980</v>
          </cell>
          <cell r="Y314">
            <v>2106000</v>
          </cell>
          <cell r="Z314">
            <v>36</v>
          </cell>
          <cell r="AA314">
            <v>58500</v>
          </cell>
        </row>
        <row r="315">
          <cell r="B315" t="str">
            <v>2012-612070</v>
          </cell>
          <cell r="C315" t="str">
            <v>001342750800000000</v>
          </cell>
          <cell r="D315" t="str">
            <v>CL 40A BIS S 16A 66E</v>
          </cell>
          <cell r="E315" t="str">
            <v>AAA0006UPCN</v>
          </cell>
          <cell r="F315">
            <v>36</v>
          </cell>
          <cell r="G315">
            <v>58500</v>
          </cell>
          <cell r="H315">
            <v>0</v>
          </cell>
          <cell r="I315" t="str">
            <v>61</v>
          </cell>
          <cell r="J315" t="str">
            <v>-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2106000</v>
          </cell>
          <cell r="P315">
            <v>0</v>
          </cell>
          <cell r="Q315">
            <v>36</v>
          </cell>
          <cell r="R315">
            <v>18000</v>
          </cell>
          <cell r="S315">
            <v>19800</v>
          </cell>
          <cell r="T315">
            <v>713000</v>
          </cell>
          <cell r="U315" t="str">
            <v>6611130110001  001800</v>
          </cell>
          <cell r="V315">
            <v>36</v>
          </cell>
          <cell r="W315">
            <v>18000</v>
          </cell>
          <cell r="X315" t="str">
            <v>001980</v>
          </cell>
          <cell r="Y315">
            <v>2106000</v>
          </cell>
          <cell r="Z315">
            <v>36</v>
          </cell>
          <cell r="AA315">
            <v>58500</v>
          </cell>
        </row>
        <row r="316">
          <cell r="B316" t="str">
            <v>2012-612071</v>
          </cell>
          <cell r="C316" t="str">
            <v>001342750700000000</v>
          </cell>
          <cell r="D316" t="str">
            <v>CL 40A BIS S 16A 70E</v>
          </cell>
          <cell r="E316" t="str">
            <v>AAA0006UPBS</v>
          </cell>
          <cell r="F316">
            <v>36</v>
          </cell>
          <cell r="G316">
            <v>58500</v>
          </cell>
          <cell r="H316">
            <v>0</v>
          </cell>
          <cell r="I316" t="str">
            <v>61</v>
          </cell>
          <cell r="J316" t="str">
            <v>-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2106000</v>
          </cell>
          <cell r="P316">
            <v>0</v>
          </cell>
          <cell r="Q316">
            <v>36</v>
          </cell>
          <cell r="R316">
            <v>18000</v>
          </cell>
          <cell r="S316">
            <v>19800</v>
          </cell>
          <cell r="T316">
            <v>713000</v>
          </cell>
          <cell r="U316" t="str">
            <v>6611130110001  001800</v>
          </cell>
          <cell r="V316">
            <v>36</v>
          </cell>
          <cell r="W316">
            <v>18000</v>
          </cell>
          <cell r="X316" t="str">
            <v>001980</v>
          </cell>
          <cell r="Y316">
            <v>2106000</v>
          </cell>
          <cell r="Z316">
            <v>36</v>
          </cell>
          <cell r="AA316">
            <v>58500</v>
          </cell>
        </row>
        <row r="317">
          <cell r="B317" t="str">
            <v>2012-612072</v>
          </cell>
          <cell r="C317" t="str">
            <v>001342750600000000</v>
          </cell>
          <cell r="D317" t="str">
            <v>CL 40A BIS S 16A 74E</v>
          </cell>
          <cell r="E317" t="str">
            <v>AAA0006UPAW</v>
          </cell>
          <cell r="F317">
            <v>36</v>
          </cell>
          <cell r="G317">
            <v>58500</v>
          </cell>
          <cell r="H317">
            <v>0</v>
          </cell>
          <cell r="I317" t="str">
            <v>61</v>
          </cell>
          <cell r="J317" t="str">
            <v>-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2106000</v>
          </cell>
          <cell r="P317">
            <v>0</v>
          </cell>
          <cell r="Q317">
            <v>36</v>
          </cell>
          <cell r="R317">
            <v>18000</v>
          </cell>
          <cell r="S317">
            <v>19800</v>
          </cell>
          <cell r="T317">
            <v>713000</v>
          </cell>
          <cell r="U317" t="str">
            <v>6611130110001  001800</v>
          </cell>
          <cell r="V317">
            <v>36</v>
          </cell>
          <cell r="W317">
            <v>18000</v>
          </cell>
          <cell r="X317" t="str">
            <v>001980</v>
          </cell>
          <cell r="Y317">
            <v>2106000</v>
          </cell>
          <cell r="Z317">
            <v>36</v>
          </cell>
          <cell r="AA317">
            <v>58500</v>
          </cell>
        </row>
        <row r="318">
          <cell r="B318" t="str">
            <v>2012-612073</v>
          </cell>
          <cell r="C318" t="str">
            <v>001342750500000000</v>
          </cell>
          <cell r="D318" t="str">
            <v>CL 40A BIS S 16A 78E</v>
          </cell>
          <cell r="E318" t="str">
            <v>AAA0006UOZM</v>
          </cell>
          <cell r="F318">
            <v>36</v>
          </cell>
          <cell r="G318">
            <v>58500</v>
          </cell>
          <cell r="H318">
            <v>0</v>
          </cell>
          <cell r="I318" t="str">
            <v>61</v>
          </cell>
          <cell r="J318" t="str">
            <v>-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2106000</v>
          </cell>
          <cell r="P318">
            <v>0</v>
          </cell>
          <cell r="Q318">
            <v>36</v>
          </cell>
          <cell r="R318">
            <v>18000</v>
          </cell>
          <cell r="S318">
            <v>19800</v>
          </cell>
          <cell r="T318">
            <v>713000</v>
          </cell>
          <cell r="U318" t="str">
            <v>6611130110001  001800</v>
          </cell>
          <cell r="V318">
            <v>36</v>
          </cell>
          <cell r="W318">
            <v>18000</v>
          </cell>
          <cell r="X318" t="str">
            <v>001980</v>
          </cell>
          <cell r="Y318">
            <v>2106000</v>
          </cell>
          <cell r="Z318">
            <v>36</v>
          </cell>
          <cell r="AA318">
            <v>58500</v>
          </cell>
        </row>
        <row r="319">
          <cell r="B319" t="str">
            <v>2012-612074</v>
          </cell>
          <cell r="C319" t="str">
            <v>001342750400000000</v>
          </cell>
          <cell r="D319" t="str">
            <v>CL 40A BIS S 16A 82E</v>
          </cell>
          <cell r="E319" t="str">
            <v>AAA0006UOYX</v>
          </cell>
          <cell r="F319">
            <v>36</v>
          </cell>
          <cell r="G319">
            <v>58500</v>
          </cell>
          <cell r="H319">
            <v>0</v>
          </cell>
          <cell r="I319" t="str">
            <v>61</v>
          </cell>
          <cell r="J319" t="str">
            <v>-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2106000</v>
          </cell>
          <cell r="P319">
            <v>0</v>
          </cell>
          <cell r="Q319">
            <v>36</v>
          </cell>
          <cell r="R319">
            <v>18000</v>
          </cell>
          <cell r="S319">
            <v>19800</v>
          </cell>
          <cell r="T319">
            <v>713000</v>
          </cell>
          <cell r="U319" t="str">
            <v>6611130110001  001800</v>
          </cell>
          <cell r="V319">
            <v>36</v>
          </cell>
          <cell r="W319">
            <v>18000</v>
          </cell>
          <cell r="X319" t="str">
            <v>001980</v>
          </cell>
          <cell r="Y319">
            <v>2106000</v>
          </cell>
          <cell r="Z319">
            <v>36</v>
          </cell>
          <cell r="AA319">
            <v>58500</v>
          </cell>
        </row>
        <row r="320">
          <cell r="B320" t="str">
            <v>2012-612075</v>
          </cell>
          <cell r="C320" t="str">
            <v>001342750300000000</v>
          </cell>
          <cell r="D320" t="str">
            <v>CL 40A BIS S 16A 86E</v>
          </cell>
          <cell r="E320" t="str">
            <v>AAA0006UOXR</v>
          </cell>
          <cell r="F320">
            <v>36</v>
          </cell>
          <cell r="G320">
            <v>58500</v>
          </cell>
          <cell r="H320">
            <v>0</v>
          </cell>
          <cell r="I320" t="str">
            <v>61</v>
          </cell>
          <cell r="J320" t="str">
            <v>-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2106000</v>
          </cell>
          <cell r="P320">
            <v>0</v>
          </cell>
          <cell r="Q320">
            <v>36</v>
          </cell>
          <cell r="R320">
            <v>18000</v>
          </cell>
          <cell r="S320">
            <v>19800</v>
          </cell>
          <cell r="T320">
            <v>713000</v>
          </cell>
          <cell r="U320" t="str">
            <v>6611130110001  001800</v>
          </cell>
          <cell r="V320">
            <v>36</v>
          </cell>
          <cell r="W320">
            <v>18000</v>
          </cell>
          <cell r="X320" t="str">
            <v>001980</v>
          </cell>
          <cell r="Y320">
            <v>2106000</v>
          </cell>
          <cell r="Z320">
            <v>36</v>
          </cell>
          <cell r="AA320">
            <v>58500</v>
          </cell>
        </row>
        <row r="321">
          <cell r="B321" t="str">
            <v>2012-612116</v>
          </cell>
          <cell r="C321" t="str">
            <v>001342750200000000</v>
          </cell>
          <cell r="D321" t="str">
            <v>CL 40A BIS S 16A 90E</v>
          </cell>
          <cell r="E321" t="str">
            <v>AAA0006UOWF</v>
          </cell>
          <cell r="F321">
            <v>36</v>
          </cell>
          <cell r="G321">
            <v>58500</v>
          </cell>
          <cell r="H321">
            <v>0</v>
          </cell>
          <cell r="I321" t="str">
            <v>61</v>
          </cell>
          <cell r="J321" t="str">
            <v>-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2106000</v>
          </cell>
          <cell r="P321">
            <v>0</v>
          </cell>
          <cell r="Q321">
            <v>36</v>
          </cell>
          <cell r="R321">
            <v>18000</v>
          </cell>
          <cell r="S321">
            <v>19800</v>
          </cell>
          <cell r="T321">
            <v>713000</v>
          </cell>
          <cell r="U321" t="str">
            <v>6611130110001  001800</v>
          </cell>
          <cell r="V321">
            <v>36</v>
          </cell>
          <cell r="W321">
            <v>18000</v>
          </cell>
          <cell r="X321" t="str">
            <v>001980</v>
          </cell>
          <cell r="Y321">
            <v>2106000</v>
          </cell>
          <cell r="Z321">
            <v>36</v>
          </cell>
          <cell r="AA321">
            <v>58500</v>
          </cell>
        </row>
        <row r="322">
          <cell r="B322" t="str">
            <v>2012-703608</v>
          </cell>
          <cell r="C322" t="str">
            <v>001342011600000000</v>
          </cell>
          <cell r="D322" t="str">
            <v>DG 33 SUR 17A 03 IN 1</v>
          </cell>
          <cell r="E322" t="str">
            <v>AAA0006SXDE</v>
          </cell>
          <cell r="F322">
            <v>9947.7000000000007</v>
          </cell>
          <cell r="G322">
            <v>58500</v>
          </cell>
          <cell r="H322">
            <v>0</v>
          </cell>
          <cell r="I322" t="str">
            <v>62</v>
          </cell>
          <cell r="J322" t="str">
            <v>-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581940000</v>
          </cell>
          <cell r="P322">
            <v>0</v>
          </cell>
          <cell r="Q322">
            <v>9947.7000000000007</v>
          </cell>
          <cell r="R322">
            <v>18000</v>
          </cell>
          <cell r="S322">
            <v>19800</v>
          </cell>
          <cell r="T322">
            <v>196964000</v>
          </cell>
          <cell r="U322" t="str">
            <v>6611130110001  001800</v>
          </cell>
          <cell r="V322">
            <v>9947.7000000000007</v>
          </cell>
          <cell r="W322">
            <v>18000</v>
          </cell>
          <cell r="X322" t="str">
            <v>001980</v>
          </cell>
          <cell r="Y322">
            <v>581940000</v>
          </cell>
          <cell r="Z322">
            <v>9947.7000000000007</v>
          </cell>
          <cell r="AA322">
            <v>58500</v>
          </cell>
        </row>
        <row r="323">
          <cell r="B323" t="str">
            <v>2012-703751</v>
          </cell>
          <cell r="C323" t="str">
            <v>001342011200000000</v>
          </cell>
          <cell r="D323" t="str">
            <v>DG 33 SUR 18 01 ESTE</v>
          </cell>
          <cell r="E323" t="str">
            <v>AAA0006SWZM</v>
          </cell>
          <cell r="F323">
            <v>21016</v>
          </cell>
          <cell r="G323">
            <v>58500</v>
          </cell>
          <cell r="H323">
            <v>0</v>
          </cell>
          <cell r="I323" t="str">
            <v>63</v>
          </cell>
          <cell r="J323" t="str">
            <v>-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1229436000</v>
          </cell>
          <cell r="P323">
            <v>0</v>
          </cell>
          <cell r="Q323">
            <v>21016</v>
          </cell>
          <cell r="R323">
            <v>18000</v>
          </cell>
          <cell r="S323">
            <v>19800</v>
          </cell>
          <cell r="T323">
            <v>416117000</v>
          </cell>
          <cell r="U323" t="str">
            <v>6611130110001  001800</v>
          </cell>
          <cell r="V323">
            <v>21016</v>
          </cell>
          <cell r="W323">
            <v>18000</v>
          </cell>
          <cell r="X323" t="str">
            <v>001980</v>
          </cell>
          <cell r="Y323">
            <v>1229436000</v>
          </cell>
          <cell r="Z323">
            <v>21016</v>
          </cell>
          <cell r="AA323">
            <v>58500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41292-CFCD-4279-921D-BADF611B76F0}">
  <sheetPr codeName="Hoja1">
    <tabColor rgb="FFAEEDF8"/>
  </sheetPr>
  <dimension ref="A1:AM45"/>
  <sheetViews>
    <sheetView showGridLines="0" tabSelected="1" zoomScale="70" zoomScaleNormal="70" workbookViewId="0">
      <selection activeCell="D4" sqref="D4"/>
    </sheetView>
  </sheetViews>
  <sheetFormatPr baseColWidth="10" defaultColWidth="10.81640625" defaultRowHeight="14.5" x14ac:dyDescent="0.35"/>
  <cols>
    <col min="1" max="1" width="9.1796875" style="37" customWidth="1"/>
    <col min="2" max="2" width="19.1796875" style="138" customWidth="1"/>
    <col min="3" max="3" width="43.453125" style="138" customWidth="1"/>
    <col min="4" max="4" width="19.81640625" style="38" customWidth="1"/>
    <col min="5" max="5" width="19.81640625" style="38" hidden="1" customWidth="1"/>
    <col min="6" max="6" width="29.453125" style="37" hidden="1" customWidth="1"/>
    <col min="7" max="7" width="24.26953125" style="37" hidden="1" customWidth="1"/>
    <col min="8" max="8" width="24.26953125" style="37" customWidth="1"/>
    <col min="9" max="9" width="24.7265625" style="37" hidden="1" customWidth="1"/>
    <col min="10" max="11" width="24.26953125" style="37" hidden="1" customWidth="1"/>
    <col min="12" max="12" width="46.81640625" style="37" customWidth="1"/>
    <col min="13" max="13" width="14.7265625" style="37" hidden="1" customWidth="1"/>
    <col min="14" max="14" width="13.81640625" style="100" customWidth="1"/>
    <col min="15" max="15" width="12" style="37" customWidth="1"/>
    <col min="16" max="16" width="16.81640625" style="37" customWidth="1"/>
    <col min="17" max="17" width="22.54296875" style="37" hidden="1" customWidth="1"/>
    <col min="18" max="18" width="20.453125" style="37" hidden="1" customWidth="1"/>
    <col min="19" max="19" width="20" style="37" customWidth="1"/>
    <col min="20" max="20" width="20.7265625" style="37" customWidth="1"/>
    <col min="21" max="21" width="36.453125" style="37" customWidth="1"/>
    <col min="22" max="22" width="24.453125" style="37" customWidth="1"/>
    <col min="23" max="23" width="12.54296875" style="37" hidden="1" customWidth="1"/>
    <col min="24" max="24" width="16.81640625" style="37" customWidth="1"/>
    <col min="25" max="25" width="19.81640625" style="37" hidden="1" customWidth="1"/>
    <col min="26" max="26" width="28.26953125" style="37" hidden="1" customWidth="1"/>
    <col min="27" max="27" width="21.26953125" style="37" customWidth="1"/>
    <col min="28" max="28" width="22.453125" style="37" hidden="1" customWidth="1"/>
    <col min="29" max="29" width="20.26953125" style="37" customWidth="1"/>
    <col min="30" max="30" width="11" style="37" hidden="1" customWidth="1"/>
    <col min="31" max="31" width="24.26953125" style="37" hidden="1" customWidth="1"/>
    <col min="32" max="32" width="23.1796875" style="37" hidden="1" customWidth="1"/>
    <col min="33" max="33" width="6.54296875" style="37" customWidth="1"/>
    <col min="34" max="34" width="15" style="37" customWidth="1"/>
    <col min="35" max="35" width="4.81640625" style="37" customWidth="1"/>
    <col min="36" max="36" width="12.81640625" style="37" bestFit="1" customWidth="1"/>
    <col min="37" max="39" width="10.81640625" style="37"/>
    <col min="40" max="16384" width="10.81640625" style="38"/>
  </cols>
  <sheetData>
    <row r="1" spans="1:39" s="37" customFormat="1" x14ac:dyDescent="0.35">
      <c r="B1" s="100"/>
      <c r="C1" s="100"/>
      <c r="N1" s="100"/>
    </row>
    <row r="2" spans="1:39" s="37" customFormat="1" x14ac:dyDescent="0.35">
      <c r="B2" s="100"/>
      <c r="C2" s="10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102"/>
      <c r="S2" s="102"/>
      <c r="T2" s="103"/>
    </row>
    <row r="3" spans="1:39" x14ac:dyDescent="0.35">
      <c r="B3" s="100"/>
      <c r="C3" s="100"/>
      <c r="D3" s="37"/>
      <c r="E3" s="37"/>
      <c r="N3" s="104"/>
      <c r="O3" s="101"/>
      <c r="AG3" s="45"/>
    </row>
    <row r="4" spans="1:39" x14ac:dyDescent="0.35">
      <c r="B4" s="100"/>
      <c r="C4" s="100"/>
      <c r="D4" s="37"/>
      <c r="E4" s="37"/>
      <c r="N4" s="104"/>
      <c r="O4" s="101"/>
      <c r="AG4" s="45"/>
    </row>
    <row r="5" spans="1:39" x14ac:dyDescent="0.35">
      <c r="B5" s="100"/>
      <c r="C5" s="100"/>
      <c r="D5" s="37"/>
      <c r="E5" s="37"/>
      <c r="N5" s="104"/>
      <c r="O5" s="101"/>
      <c r="AG5" s="45"/>
    </row>
    <row r="6" spans="1:39" x14ac:dyDescent="0.35">
      <c r="B6" s="100"/>
      <c r="C6" s="100"/>
      <c r="D6" s="37"/>
      <c r="E6" s="37"/>
      <c r="N6" s="104"/>
      <c r="O6" s="101"/>
      <c r="AG6" s="45"/>
    </row>
    <row r="7" spans="1:39" x14ac:dyDescent="0.35">
      <c r="B7" s="100"/>
      <c r="C7" s="100"/>
      <c r="D7" s="37"/>
      <c r="E7" s="37"/>
      <c r="V7" s="45"/>
      <c r="AG7" s="45"/>
    </row>
    <row r="8" spans="1:39" x14ac:dyDescent="0.35">
      <c r="B8" s="39" t="s">
        <v>560</v>
      </c>
      <c r="C8" s="40"/>
      <c r="D8" s="105"/>
      <c r="E8" s="105"/>
      <c r="F8" s="40"/>
      <c r="G8" s="106"/>
      <c r="H8" s="106"/>
      <c r="I8" s="106"/>
      <c r="J8" s="106"/>
      <c r="K8" s="106"/>
      <c r="L8" s="40"/>
      <c r="N8" s="107"/>
      <c r="O8" s="106"/>
      <c r="P8" s="108"/>
      <c r="AG8" s="45"/>
    </row>
    <row r="9" spans="1:39" ht="21" x14ac:dyDescent="0.5">
      <c r="B9" s="109"/>
      <c r="C9" s="100"/>
      <c r="D9" s="37"/>
      <c r="E9" s="37"/>
      <c r="F9" s="110"/>
      <c r="H9" s="46" t="s">
        <v>563</v>
      </c>
      <c r="I9" s="46"/>
      <c r="J9" s="46"/>
      <c r="K9" s="46"/>
      <c r="N9" s="191" t="s">
        <v>587</v>
      </c>
      <c r="O9" s="191"/>
      <c r="P9" s="111"/>
      <c r="T9" s="80" t="str">
        <f>+"AVALÚO TOTAL TERRENO "&amp;O10</f>
        <v>AVALÚO TOTAL TERRENO 2025</v>
      </c>
      <c r="U9" s="112"/>
      <c r="V9" s="81">
        <f>SUM(H18:H32)</f>
        <v>0</v>
      </c>
      <c r="AG9" s="45"/>
    </row>
    <row r="10" spans="1:39" ht="18.5" customHeight="1" x14ac:dyDescent="0.35">
      <c r="B10" s="93" t="s">
        <v>177</v>
      </c>
      <c r="C10" s="61"/>
      <c r="D10" s="113"/>
      <c r="E10" s="113"/>
      <c r="F10" s="114" t="str">
        <f>IFERROR(VLOOKUP('AVALÚO CATASTRAL'!C10,AVALUOS_ESPECIALES!$B$2:$B$191,1,FALSE),"")</f>
        <v/>
      </c>
      <c r="H10" s="210"/>
      <c r="I10" s="91"/>
      <c r="J10" s="91"/>
      <c r="K10" s="91"/>
      <c r="L10" s="115" t="e">
        <f>VLOOKUP(C10,#REF!,1,FALSE)</f>
        <v>#REF!</v>
      </c>
      <c r="M10" s="41"/>
      <c r="N10" s="51" t="s">
        <v>578</v>
      </c>
      <c r="O10" s="157">
        <v>2025</v>
      </c>
      <c r="P10" s="111"/>
      <c r="T10" s="80" t="str">
        <f>+"AVALÚO TOTAL CONSTRUCCIÓN "&amp;$O$10</f>
        <v>AVALÚO TOTAL CONSTRUCCIÓN 2025</v>
      </c>
      <c r="U10" s="112"/>
      <c r="V10" s="81">
        <f>SUM(T18:T32)+SUM(AC18:AC32)</f>
        <v>0</v>
      </c>
      <c r="AG10" s="45"/>
    </row>
    <row r="11" spans="1:39" ht="18" customHeight="1" x14ac:dyDescent="0.35">
      <c r="B11" s="93" t="s">
        <v>107</v>
      </c>
      <c r="C11" s="52" t="str">
        <f>IF(C10="","",IF(D11="00","RURAL","URBANO"))</f>
        <v/>
      </c>
      <c r="D11" s="116" t="str">
        <f>MID($C$10,6,2)</f>
        <v/>
      </c>
      <c r="E11" s="117"/>
      <c r="F11" s="117"/>
      <c r="H11" s="209"/>
      <c r="I11" s="91"/>
      <c r="J11" s="91"/>
      <c r="K11" s="91"/>
      <c r="L11" s="41"/>
      <c r="M11" s="41"/>
      <c r="N11" s="42"/>
      <c r="P11" s="111"/>
      <c r="T11" s="80" t="str">
        <f>+"AVALÚO CATASTRAL TOTAL "&amp;O10</f>
        <v>AVALÚO CATASTRAL TOTAL 2025</v>
      </c>
      <c r="U11" s="112"/>
      <c r="V11" s="81">
        <f>IF(AND(V9="",V10=""),"",MROUND(SUM(V9:V10),1000))</f>
        <v>0</v>
      </c>
      <c r="AG11" s="45"/>
    </row>
    <row r="12" spans="1:39" ht="20.5" customHeight="1" x14ac:dyDescent="0.35">
      <c r="B12" s="93" t="s">
        <v>108</v>
      </c>
      <c r="C12" s="30" t="str">
        <f>IF(C10="","",IF(OR(D12="8",D12="9"),"PH","NPH"))</f>
        <v/>
      </c>
      <c r="D12" s="116" t="str">
        <f>MID($C$10,22,1)</f>
        <v/>
      </c>
      <c r="E12" s="117"/>
      <c r="F12" s="118" t="str">
        <f>C11&amp;"_"&amp;C13</f>
        <v>_</v>
      </c>
      <c r="G12" s="43"/>
      <c r="H12" s="43"/>
      <c r="I12" s="43"/>
      <c r="J12" s="43"/>
      <c r="K12" s="43"/>
      <c r="L12" s="41"/>
      <c r="M12" s="41"/>
      <c r="N12" s="196" t="s">
        <v>588</v>
      </c>
      <c r="O12" s="197"/>
      <c r="P12" s="198"/>
      <c r="V12" s="45"/>
      <c r="X12" s="45"/>
      <c r="AA12" s="119"/>
      <c r="AG12" s="47"/>
    </row>
    <row r="13" spans="1:39" ht="22.5" customHeight="1" x14ac:dyDescent="0.45">
      <c r="B13" s="93" t="s">
        <v>589</v>
      </c>
      <c r="C13" s="92"/>
      <c r="D13" s="117"/>
      <c r="E13" s="117"/>
      <c r="F13" s="120"/>
      <c r="G13" s="38"/>
      <c r="H13" s="143" t="str">
        <f>IF(C10="","",VLOOKUP(O10,DECRETOS!$A$1:$B$4,2,FALSE))</f>
        <v/>
      </c>
      <c r="I13" s="38"/>
      <c r="J13" s="38"/>
      <c r="K13" s="38"/>
      <c r="L13" s="38"/>
      <c r="M13" s="38"/>
      <c r="N13" s="199"/>
      <c r="O13" s="200"/>
      <c r="P13" s="201"/>
      <c r="Q13" s="45"/>
      <c r="R13" s="45"/>
      <c r="T13" s="45"/>
      <c r="V13" s="45"/>
    </row>
    <row r="14" spans="1:39" ht="19.5" hidden="1" customHeight="1" x14ac:dyDescent="0.45">
      <c r="B14" s="121"/>
      <c r="C14" s="44"/>
      <c r="D14" s="122"/>
      <c r="E14" s="122"/>
      <c r="F14" s="123"/>
      <c r="G14" s="123"/>
      <c r="H14" s="123"/>
      <c r="I14" s="123"/>
      <c r="J14" s="123"/>
      <c r="K14" s="123"/>
      <c r="L14" s="122"/>
      <c r="M14" s="38"/>
      <c r="N14" s="42"/>
    </row>
    <row r="15" spans="1:39" ht="24.65" customHeight="1" x14ac:dyDescent="0.35">
      <c r="B15" s="44"/>
      <c r="C15" s="38"/>
      <c r="F15" s="43"/>
      <c r="G15" s="43"/>
      <c r="H15" s="43"/>
      <c r="I15" s="43"/>
      <c r="J15" s="43"/>
      <c r="K15" s="43"/>
      <c r="L15" s="41"/>
      <c r="M15" s="41"/>
      <c r="N15" s="42"/>
      <c r="S15" s="47"/>
      <c r="AB15" s="45"/>
    </row>
    <row r="16" spans="1:39" s="126" customFormat="1" ht="14" x14ac:dyDescent="0.3">
      <c r="A16" s="192" t="s">
        <v>11</v>
      </c>
      <c r="B16" s="193"/>
      <c r="C16" s="193"/>
      <c r="D16" s="193"/>
      <c r="E16" s="193"/>
      <c r="F16" s="193"/>
      <c r="G16" s="193"/>
      <c r="H16" s="124"/>
      <c r="I16" s="124"/>
      <c r="J16" s="124"/>
      <c r="K16" s="124"/>
      <c r="L16" s="194" t="s">
        <v>573</v>
      </c>
      <c r="M16" s="194"/>
      <c r="N16" s="194"/>
      <c r="O16" s="194"/>
      <c r="P16" s="194"/>
      <c r="Q16" s="194"/>
      <c r="R16" s="194"/>
      <c r="S16" s="194"/>
      <c r="T16" s="195"/>
      <c r="U16" s="188" t="s">
        <v>101</v>
      </c>
      <c r="V16" s="189"/>
      <c r="W16" s="189"/>
      <c r="X16" s="189"/>
      <c r="Y16" s="189"/>
      <c r="Z16" s="189"/>
      <c r="AA16" s="189"/>
      <c r="AB16" s="189"/>
      <c r="AC16" s="190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</row>
    <row r="17" spans="1:39" s="129" customFormat="1" ht="42" x14ac:dyDescent="0.35">
      <c r="A17" s="62" t="s">
        <v>586</v>
      </c>
      <c r="B17" s="63" t="s">
        <v>99</v>
      </c>
      <c r="C17" s="63" t="s">
        <v>571</v>
      </c>
      <c r="D17" s="64" t="str">
        <f>+"VALOR M2 TERRENO "&amp;O10</f>
        <v>VALOR M2 TERRENO 2025</v>
      </c>
      <c r="E17" s="94" t="s">
        <v>580</v>
      </c>
      <c r="F17" s="94" t="s">
        <v>582</v>
      </c>
      <c r="G17" s="94" t="s">
        <v>583</v>
      </c>
      <c r="H17" s="64" t="str">
        <f>"AVALÚO TERRENO "&amp;O10</f>
        <v>AVALÚO TERRENO 2025</v>
      </c>
      <c r="I17" s="94" t="s">
        <v>594</v>
      </c>
      <c r="J17" s="94" t="s">
        <v>595</v>
      </c>
      <c r="K17" s="94" t="s">
        <v>631</v>
      </c>
      <c r="L17" s="65" t="s">
        <v>12</v>
      </c>
      <c r="M17" s="127" t="s">
        <v>112</v>
      </c>
      <c r="N17" s="65" t="s">
        <v>1</v>
      </c>
      <c r="O17" s="65" t="s">
        <v>0</v>
      </c>
      <c r="P17" s="65" t="s">
        <v>564</v>
      </c>
      <c r="Q17" s="127" t="s">
        <v>584</v>
      </c>
      <c r="R17" s="127" t="s">
        <v>597</v>
      </c>
      <c r="S17" s="66" t="str">
        <f>+"VALOR M2 CONSTRUCCIÓN "&amp;O10</f>
        <v>VALOR M2 CONSTRUCCIÓN 2025</v>
      </c>
      <c r="T17" s="66" t="str">
        <f>+"AVALÚO CONSTRUCCIÓN "&amp;O10</f>
        <v>AVALÚO CONSTRUCCIÓN 2025</v>
      </c>
      <c r="U17" s="67" t="s">
        <v>12</v>
      </c>
      <c r="V17" s="67" t="s">
        <v>102</v>
      </c>
      <c r="W17" s="127" t="s">
        <v>561</v>
      </c>
      <c r="X17" s="67" t="s">
        <v>564</v>
      </c>
      <c r="Y17" s="127" t="s">
        <v>585</v>
      </c>
      <c r="Z17" s="127" t="s">
        <v>585</v>
      </c>
      <c r="AA17" s="68" t="str">
        <f>+"VALOR M2 CONSTRUCCIÓN "&amp;O10</f>
        <v>VALOR M2 CONSTRUCCIÓN 2025</v>
      </c>
      <c r="AB17" s="127" t="s">
        <v>581</v>
      </c>
      <c r="AC17" s="68" t="str">
        <f>+"AVALÚO CONSTRUCCIÓN "&amp;O10</f>
        <v>AVALÚO CONSTRUCCIÓN 2025</v>
      </c>
      <c r="AD17" s="82" t="s">
        <v>571</v>
      </c>
      <c r="AE17" s="83" t="s">
        <v>564</v>
      </c>
      <c r="AF17" s="83" t="s">
        <v>596</v>
      </c>
      <c r="AG17" s="128"/>
      <c r="AH17" s="128"/>
      <c r="AI17" s="128"/>
      <c r="AJ17" s="128"/>
      <c r="AK17" s="128"/>
      <c r="AL17" s="128"/>
      <c r="AM17" s="128"/>
    </row>
    <row r="18" spans="1:39" s="126" customFormat="1" ht="14" x14ac:dyDescent="0.3">
      <c r="A18" s="69"/>
      <c r="B18" s="70"/>
      <c r="C18" s="84"/>
      <c r="D18" s="71" t="str">
        <f>IFERROR(IF(B18="","",IF($O$10=2022,E18,IF($O$10=2023,E18*I18,IF($O$10=2024,E18*I18*J18,IF($O$10=2025,E18*I18*J18*K18))))),"")</f>
        <v/>
      </c>
      <c r="E18" s="71" t="e">
        <f>VLOOKUP(B18,ZHG!$C$2:$D$124,2,FALSE)</f>
        <v>#N/A</v>
      </c>
      <c r="F18" s="71" t="e">
        <f t="shared" ref="F18:F32" si="0">MROUND(AD18*E18,1000)</f>
        <v>#N/A</v>
      </c>
      <c r="G18" s="71" t="e">
        <f>MROUND(F18*I18,1000)</f>
        <v>#N/A</v>
      </c>
      <c r="H18" s="71" t="str">
        <f>IF(B18="","",MROUND(D18*C18,1000))</f>
        <v/>
      </c>
      <c r="I18" s="96" t="e">
        <f>VLOOKUP($F$12,INCREMENTO!$C$2:$D$5,2,FALSE)</f>
        <v>#N/A</v>
      </c>
      <c r="J18" s="96" t="e">
        <f>VLOOKUP($F$12,INCREMENTO!$C$2:$E$5,3,FALSE)</f>
        <v>#N/A</v>
      </c>
      <c r="K18" s="96">
        <v>1.03</v>
      </c>
      <c r="L18" s="69"/>
      <c r="M18" s="72" t="str">
        <f>IF(OR(L18="01-Residencial.Vivienda_Hasta_3_Pisos",L18="27-Residencial.Casa_Elbas",L18="35-Residencial.Apartamentos_Mas_De_4_Pisos",L18="40-Residencial.Barracas",L18="53-Residencial.Vivienda_Colonial",L18="56-Residencial.Apartamentos_En_Edificio_4_y_5_Pisos_Cartagena",L18="63-Residencial.Vivienda_Recreacional",L18="70-Residencial.Vivienda_Hasta_3_Pisos_En_PH",L18="71-Residencial.Apartamentos_4_y_mas_pisos_en_PH",L18="72-Residencial.Vivienda_Recreacional_En_PH",L18="93-Residencial.Depositos_Lockers",L18="94-Residencial.Salon_Comunal",L18="95-Residencial.Secadero_Ropa"),"RESIDENCIAL",IF(OR(L18="16-Comercial.Bodegas_Comerciales_Grandes_Almacenes",L18="25-Comercial.Hoteles_en_PH",L18="28-Comercial.Comercio",L18="31-Comercial.Hoteles",L18="33-Comercial.Clubes_Casinos",L18="34-Comercial.Oficinas_Consultorios",L18="36-Comercial.Restaurantes",L18="37-Comercial.Pensiones_y_Residencias",L18="54-Comercial.Comercio_Colonial",L18="55-Comercial.Oficinas_Consultorios_Coloniales",L18="58-Comercial.Centros_Comerciales",L18="74-Comercial.Bodegas_Comerciales_en_PH",L18="75-Comercial.Comercio_en_PH",L18="76-Comercial.Centros_Comerciales_en_PH",L18="77-Comercial.Oficinas_Consultorios_en_PH",L18="39-Comercial.Parqueaderos",L18="86-Comercial.Teatro_Cinemas_en_PH",L18="88-Comercial.Restaurantes_en_PH",L18="89-Comercial.Hotel_Colonial",L18="90-Comercial.Restaurante_Colonial",L18="96-Comercial.Parque_Diversiones",L18="97-Comercial.Plaza_Mercado",L18="98-Comercial.Teatro_Cinemas"),"COMERCIAL",IF(OR(L18="07-Industrial.Industrias",L18="45-Industrial.Talleres",L18="80-Industrial.Industrias_en_PH",L18="99-Industrial.Bodegas_Casa_Bomba_en_PH"),"INDUSTRIAL",IF(OR(L18="12-Institucional.Colegio_y_Universidades",L18="13-Institucional.Biblioteca",L18="19-Institucional.Clinicas_Hospitales_Centros_Medicos",L18="29-Institucional.Iglesia",L18="38-Institucional.Puestos_de_Salud",L18="41-Institucional.Teatro",L18="42-Institucional.Aulas_de_Clases",L18="43-Institucional.Coliseos",L18="44-Institucional.Casas_de_Culto",L18="46-Institucional.Jardin_Infantil_en_Casa",L18="51-Institucional.Carceles",L18="52-Institucional.Parque_Cementerio",L18="65-Institucional.Fuertes_y_Castillos",L18="87-Institucional.Iglesia_en_PH",L18="91-Institucional.Entidad_Educativa_Colonial_Colegio_Colonial",L18="100-Institucional.Estadios",L18="101-Institucional.Instalaciones_Militares",L18="102-Institucional.Planetario",L18="103-Institucional.Plaza_de_Toros",L18="104-Institucional.Museos",L18="105-Institucional.Seminarios_Conventos",L18="106-Institucional.Unidad_Deportiva",L18="107-Institucional.Velodromo_Patinodromo"),"INSTITUCIONAL",IF(OR(L18="49-ESTACIONES DE BOMBEROS",L18="92-AEROGENERADOR DE ENERGÍA"),"OTROS",IF(AND(L18="14-Residencial.Garajes_Cubiertos",$C$12="PH"),"GARAJE",IF(AND(L18="14-Residencial.Garajes_Cubiertos",$C$12="NPH"),"RESIDENCIAL",IF(AND(L18="06-Industrial.Bodega_Casa_Bomba",$C$12="PH"),"BODEGA",IF(AND(L18="06-Industrial.Bodega_Casa_Bomba",$C$12="NPH"),"INDUSTRIAL",IF(AND(L18="78-Comercial.Parqueaderos_en_PH",$C$12="PH"),"PARQUEADERO",IF(AND(L18="39-Comercial.Parqueaderos",$C$12="NPH"),"COMERCIAL",IF(L18="79-Residencial.Garajes_En_PH","GARAJE",""))))))))))))</f>
        <v/>
      </c>
      <c r="N18" s="73"/>
      <c r="O18" s="74"/>
      <c r="P18" s="85"/>
      <c r="Q18" s="78" t="str">
        <f>IF(AND($C$11="URBANO",$C$12="NPH",M18="RESIDENCIAL",N18=1),((29421.1+(13330.81*O18)+(-148859.55*1)+29920)*0.6),IF(AND($C$11="URBANO",$C$12="NPH",M18="RESIDENCIAL",N18=2),((29421.1+(13330.81*O18)+(-148859.55*1)+29920)*0.6),IF(AND($C$11="URBANO",$C$12="NPH",M18="RESIDENCIAL",N18=3),((29421.1+(13330.81*O18)+(-77322.88*1)+29920)*0.6),IF(AND($C$11="URBANO",$C$12="NPH",M18="RESIDENCIAL",N18=4),((29421.1+(13330.81*O18)+(-77322.88*1)+29920)*0.6),IF(AND($C$11="URBANO",$C$12="NPH",M18="RESIDENCIAL",N18=5),((29421.1+(13330.81*O18)+29920)*0.6),IF(AND($C$11="URBANO",$C$12="NPH",M18="RESIDENCIAL",N18=6),((29421.1+(13330.81*O18)+29920)*0.6),IF(AND($C$11="URBANO",$C$12="PH",M18="RESIDENCIAL",N18=1),((423011+(24738*O18)+(-714543*1)+186100)*0.6),IF(AND($C$11="URBANO",$C$12="PH",M18="RESIDENCIAL",N18=2),((423011+(24738*O18)+(-714543*1)+186100)*0.6),IF(AND($C$11="URBANO",$C$12="PH",M18="RESIDENCIAL",N18=3),((423011+(24738*O18)+(-251817*1)+186100)*0.6),IF(AND($C$11="URBANO",$C$12="PH",M18="RESIDENCIAL",N18=4),((423011+(24738*O18)+(-251817*1)+186100)*0.6),IF(AND($C$11="URBANO",$C$12="PH",M18="RESIDENCIAL",N18=5),((423011+(24738*O18)+186100)*0.6),IF(AND($C$11="URBANO",$C$12="PH",M18="RESIDENCIAL",N18=6),((423011+(24738*O18)+186100)*0.6),IF(AND($C$11="URBANO",$C$12="NPH",M18="COMERCIAL"),((-81478.289+(15270.6578*O18)+172.6053*AE18+47470)*0.6),IF(AND($C$11="URBANO",$C$12="PH",M18="COMERCIAL"),((150974+(32815*O18)+379200)*0.6),IF(AND($C$11="URBANO",M18="INDUSTRIAL"),((-109546.6+(18871.5*O18)+22620)*0.6),IF(AND(M18="INSTITUCIONAL"),((-209271+(20129*O18)+51070)*0.6),IF(AND($C$11="RURAL",M18="RESIDENCIAL",N18=1),((36460+(12867*O18)+(-134661*1)+40720)*0.6),IF(AND($C$11="RURAL",M18="RESIDENCIAL",N18=2),((36460+(12867*O18)+(-134661*1)+40720)*0.6),IF(AND($C$11="RURAL",M18="RESIDENCIAL",N18=3),((36460+(12867*O18)+(-63902*1)+40720)*0.6),IF(AND($C$11="RURAL",M18="RESIDENCIAL",N18=4),((36460+(12867*O18)+(-63902*1)+40720)*0.6),IF(AND($C$11="RURAL",M18="RESIDENCIAL",N18=5),((36460+(12867*O18)+40720)*0.6),IF(AND($C$11="RURAL",M18="RESIDENCIAL",N18=6),((36460+(12867*O18)+40720)*0.6),IF(AND($C$11="RURAL",M18="COMERCIAL"),((30503+(14563*O18)+38120)*0.6),IF(AND($C$11="RURAL",M18="INDUSTRIAL"),((-98510.65+(17988.81*O18)+36161.55)*0.6),IF(AND(M18="GARAJE",$C$12="PH",AE18&gt;=1,AE18&lt;11),660000,IF(AND(M18="GARAJE",$C$12="PH",AE18&gt;=11,AE18&lt;=17),(7200000/AE18),IF(AND(M18="GARAJE",$C$12="PH",AE18&gt;=17),(((AE18/17)*7200000)/AE18),IF(AND(M18="PARQUEADERO",$C$12="PH",AE18&gt;=1,AE18&lt;11),810000,IF(AND(M18="PARQUEADERO",$C$12="PH",AE18&gt;=11,AE18&lt;=17),(9000000/AE18),IF(AND(M18="PARQUEADERO",$C$12="PH",AE18&gt;=17),(((AE18/17)*9000000)/AE18),IF(AND(M18="BODEGA",$C$12="PH",AE18&gt;=1,AE18&lt;=10),600000,IF(AND(M18="BODEGA",$C$12="PH",AE18&gt;=11,AE18&lt;=100),540000,IF(AND(M18="BODEGA",$C$12="PH",AE18&gt;=100),510000,IF(OR($C$11="",$C$12="",L18="",M18="",O18="",AE18=""),""))))))))))))))))))))))))))))))))))</f>
        <v/>
      </c>
      <c r="R18" s="78" t="e">
        <f>MROUND(Q18*AE18,1000)</f>
        <v>#VALUE!</v>
      </c>
      <c r="S18" s="75" t="str">
        <f>IFERROR(IF($O$10=2022,Q18,IF($O$10=2023,Q18*I18,IF($O$10=2024,Q18*I18*J18,IF($O$10=2025,Q18*I18*J18*K18)))),"")</f>
        <v/>
      </c>
      <c r="T18" s="75" t="str">
        <f>IF(S18="","",MROUND(S18*P18,1000))</f>
        <v/>
      </c>
      <c r="U18" s="76"/>
      <c r="V18" s="74"/>
      <c r="W18" s="77" t="str">
        <f>U18&amp;V18</f>
        <v/>
      </c>
      <c r="X18" s="85"/>
      <c r="Y18" s="130" t="str">
        <f>IF(OR(U18="",V18=""),"",VLOOKUP(W18,USO_ANE!$C$2:$E$61,3,FALSE))</f>
        <v/>
      </c>
      <c r="Z18" s="78" t="str">
        <f>_xlfn.IFNA(Y18,"EL TIPO NO COINCIDE")</f>
        <v/>
      </c>
      <c r="AA18" s="78" t="str">
        <f>IFERROR(IF($O$10=2022,Y18,IF($O$10=2023,Y18*I18,IF($O$10=2024,Y18*I18*J18,IF($O$10=2025,Y18*I18*J18*K18)))),"")</f>
        <v/>
      </c>
      <c r="AB18" s="78" t="e">
        <f>MROUND(Z18*AF18,1000)</f>
        <v>#VALUE!</v>
      </c>
      <c r="AC18" s="78" t="str">
        <f>IFERROR(MROUND(AA18*X18,1000),"")</f>
        <v/>
      </c>
      <c r="AD18" s="88">
        <f t="shared" ref="AD18:AD32" si="1">+ROUND(C18,2)</f>
        <v>0</v>
      </c>
      <c r="AE18" s="89">
        <f>+ROUND(P18,2)</f>
        <v>0</v>
      </c>
      <c r="AF18" s="89">
        <f>+ROUND(X18,2)</f>
        <v>0</v>
      </c>
      <c r="AG18" s="131"/>
      <c r="AH18" s="132"/>
      <c r="AJ18" s="125"/>
      <c r="AK18" s="125"/>
      <c r="AL18" s="125"/>
      <c r="AM18" s="125"/>
    </row>
    <row r="19" spans="1:39" s="126" customFormat="1" ht="14" x14ac:dyDescent="0.3">
      <c r="A19" s="69"/>
      <c r="B19" s="70"/>
      <c r="C19" s="84"/>
      <c r="D19" s="71" t="str">
        <f t="shared" ref="D19:D32" si="2">IFERROR(IF(B19="","",IF($O$10=2022,E19,IF($O$10=2023,E19*I19,IF($O$10=2024,E19*I19*J19,IF($O$10=2025,E19*I19*J19*K19))))),"")</f>
        <v/>
      </c>
      <c r="E19" s="71" t="e">
        <f>VLOOKUP(B19,ZHG!$C$2:$D$124,2,FALSE)</f>
        <v>#N/A</v>
      </c>
      <c r="F19" s="71" t="e">
        <f t="shared" si="0"/>
        <v>#N/A</v>
      </c>
      <c r="G19" s="71" t="e">
        <f t="shared" ref="G19:G32" si="3">MROUND(F19*I19,1000)</f>
        <v>#N/A</v>
      </c>
      <c r="H19" s="71" t="str">
        <f t="shared" ref="H19:H32" si="4">IF(B19="","",MROUND(D19*C19,1000))</f>
        <v/>
      </c>
      <c r="I19" s="96" t="e">
        <f>VLOOKUP($F$12,INCREMENTO!$C$2:$D$5,2,FALSE)</f>
        <v>#N/A</v>
      </c>
      <c r="J19" s="96" t="e">
        <f>VLOOKUP($F$12,INCREMENTO!$C$2:$E$5,3,FALSE)</f>
        <v>#N/A</v>
      </c>
      <c r="K19" s="96">
        <v>1.03</v>
      </c>
      <c r="L19" s="69"/>
      <c r="M19" s="72" t="str">
        <f t="shared" ref="M19:M32" si="5">IF(OR(L19="01-Residencial.Vivienda_Hasta_3_Pisos",L19="27-Residencial.Casa_Elbas",L19="35-Residencial.Apartamentos_Mas_De_4_Pisos",L19="40-Residencial.Barracas",L19="53-Residencial.Vivienda_Colonial",L19="56-Residencial.Apartamentos_En_Edificio_4_y_5_Pisos_Cartagena",L19="63-Residencial.Vivienda_Recreacional",L19="70-Residencial.Vivienda_Hasta_3_Pisos_En_PH",L19="71-Residencial.Apartamentos_4_y_mas_pisos_en_PH",L19="72-Residencial.Vivienda_Recreacional_En_PH",L19="93-Residencial.Depositos_Lockers",L19="94-Residencial.Salon_Comunal",L19="95-Residencial.Secadero_Ropa"),"RESIDENCIAL",IF(OR(L19="16-Comercial.Bodegas_Comerciales_Grandes_Almacenes",L19="25-Comercial.Hoteles_en_PH",L19="28-Comercial.Comercio",L19="31-Comercial.Hoteles",L19="33-Comercial.Clubes_Casinos",L19="34-Comercial.Oficinas_Consultorios",L19="36-Comercial.Restaurantes",L19="37-Comercial.Pensiones_y_Residencias",L19="54-Comercial.Comercio_Colonial",L19="55-Comercial.Oficinas_Consultorios_Coloniales",L19="58-Comercial.Centros_Comerciales",L19="74-Comercial.Bodegas_Comerciales_en_PH",L19="75-Comercial.Comercio_en_PH",L19="76-Comercial.Centros_Comerciales_en_PH",L19="77-Comercial.Oficinas_Consultorios_en_PH",L19="39-Comercial.Parqueaderos",L19="86-Comercial.Teatro_Cinemas_en_PH",L19="88-Comercial.Restaurantes_en_PH",L19="89-Comercial.Hotel_Colonial",L19="90-Comercial.Restaurante_Colonial",L19="96-Comercial.Parque_Diversiones",L19="97-Comercial.Plaza_Mercado",L19="98-Comercial.Teatro_Cinemas"),"COMERCIAL",IF(OR(L19="07-Industrial.Industrias",L19="45-Industrial.Talleres",L19="80-Industrial.Industrias_en_PH",L19="99-Industrial.Bodegas_Casa_Bomba_en_PH"),"INDUSTRIAL",IF(OR(L19="12-Institucional.Colegio_y_Universidades",L19="13-Institucional.Biblioteca",L19="19-Institucional.Clinicas_Hospitales_Centros_Medicos",L19="29-Institucional.Iglesia",L19="38-Institucional.Puestos_de_Salud",L19="41-Institucional.Teatro",L19="42-Institucional.Aulas_de_Clases",L19="43-Institucional.Coliseos",L19="44-Institucional.Casas_de_Culto",L19="46-Institucional.Jardin_Infantil_en_Casa",L19="51-Institucional.Carceles",L19="52-Institucional.Parque_Cementerio",L19="65-Institucional.Fuertes_y_Castillos",L19="87-Institucional.Iglesia_en_PH",L19="91-Institucional.Entidad_Educativa_Colonial_Colegio_Colonial",L19="100-Institucional.Estadios",L19="101-Institucional.Instalaciones_Militares",L19="102-Institucional.Planetario",L19="103-Institucional.Plaza_de_Toros",L19="104-Institucional.Museos",L19="105-Institucional.Seminarios_Conventos",L19="106-Institucional.Unidad_Deportiva",L19="107-Institucional.Velodromo_Patinodromo"),"INSTITUCIONAL",IF(OR(L19="49-ESTACIONES DE BOMBEROS",L19="92-AEROGENERADOR DE ENERGÍA"),"OTROS",IF(AND(L19="14-Residencial.Garajes_Cubiertos",$C$12="PH"),"GARAJE",IF(AND(L19="14-Residencial.Garajes_Cubiertos",$C$12="NPH"),"RESIDENCIAL",IF(AND(L19="06-Industrial.Bodega_Casa_Bomba",$C$12="PH"),"BODEGA",IF(AND(L19="06-Industrial.Bodega_Casa_Bomba",$C$12="NPH"),"INDUSTRIAL",IF(AND(L19="78-Comercial.Parqueaderos_en_PH",$C$12="PH"),"PARQUEADERO",IF(AND(L19="39-Comercial.Parqueaderos",$C$12="NPH"),"COMERCIAL",IF(L19="79-Residencial.Garajes_En_PH","GARAJE",""))))))))))))</f>
        <v/>
      </c>
      <c r="N19" s="73"/>
      <c r="O19" s="74"/>
      <c r="P19" s="85"/>
      <c r="Q19" s="78" t="str">
        <f t="shared" ref="Q19:Q32" si="6">IF(AND($C$11="URBANO",$C$12="NPH",M19="RESIDENCIAL",N19=1),((29421.1+(13330.81*O19)+(-148859.55*1)+29920)*0.6),IF(AND($C$11="URBANO",$C$12="NPH",M19="RESIDENCIAL",N19=2),((29421.1+(13330.81*O19)+(-148859.55*1)+29920)*0.6),IF(AND($C$11="URBANO",$C$12="NPH",M19="RESIDENCIAL",N19=3),((29421.1+(13330.81*O19)+(-77322.88*1)+29920)*0.6),IF(AND($C$11="URBANO",$C$12="NPH",M19="RESIDENCIAL",N19=4),((29421.1+(13330.81*O19)+(-77322.88*1)+29920)*0.6),IF(AND($C$11="URBANO",$C$12="NPH",M19="RESIDENCIAL",N19=5),((29421.1+(13330.81*O19)+29920)*0.6),IF(AND($C$11="URBANO",$C$12="NPH",M19="RESIDENCIAL",N19=6),((29421.1+(13330.81*O19)+29920)*0.6),IF(AND($C$11="URBANO",$C$12="PH",M19="RESIDENCIAL",N19=1),((423011+(24738*O19)+(-714543*1)+186100)*0.6),IF(AND($C$11="URBANO",$C$12="PH",M19="RESIDENCIAL",N19=2),((423011+(24738*O19)+(-714543*1)+186100)*0.6),IF(AND($C$11="URBANO",$C$12="PH",M19="RESIDENCIAL",N19=3),((423011+(24738*O19)+(-251817*1)+186100)*0.6),IF(AND($C$11="URBANO",$C$12="PH",M19="RESIDENCIAL",N19=4),((423011+(24738*O19)+(-251817*1)+186100)*0.6),IF(AND($C$11="URBANO",$C$12="PH",M19="RESIDENCIAL",N19=5),((423011+(24738*O19)+186100)*0.6),IF(AND($C$11="URBANO",$C$12="PH",M19="RESIDENCIAL",N19=6),((423011+(24738*O19)+186100)*0.6),IF(AND($C$11="URBANO",$C$12="NPH",M19="COMERCIAL"),((-81478.289+(15270.6578*O19)+172.6053*AE19+47470)*0.6),IF(AND($C$11="URBANO",$C$12="PH",M19="COMERCIAL"),((150974+(32815*O19)+379200)*0.6),IF(AND($C$11="URBANO",M19="INDUSTRIAL"),((-109546.6+(18871.5*O19)+22620)*0.6),IF(AND(M19="INSTITUCIONAL"),((-209271+(20129*O19)+51070)*0.6),IF(AND($C$11="RURAL",M19="RESIDENCIAL",N19=1),((36460+(12867*O19)+(-134661*1)+40720)*0.6),IF(AND($C$11="RURAL",M19="RESIDENCIAL",N19=2),((36460+(12867*O19)+(-134661*1)+40720)*0.6),IF(AND($C$11="RURAL",M19="RESIDENCIAL",N19=3),((36460+(12867*O19)+(-63902*1)+40720)*0.6),IF(AND($C$11="RURAL",M19="RESIDENCIAL",N19=4),((36460+(12867*O19)+(-63902*1)+40720)*0.6),IF(AND($C$11="RURAL",M19="RESIDENCIAL",N19=5),((36460+(12867*O19)+40720)*0.6),IF(AND($C$11="RURAL",M19="RESIDENCIAL",N19=6),((36460+(12867*O19)+40720)*0.6),IF(AND($C$11="RURAL",M19="COMERCIAL"),((30503+(14563*O19)+38120)*0.6),IF(AND($C$11="RURAL",M19="INDUSTRIAL"),((-98510.65+(17988.81*O19)+36161.55)*0.6),IF(AND(M19="GARAJE",$C$12="PH",AE19&gt;=1,AE19&lt;11),660000,IF(AND(M19="GARAJE",$C$12="PH",AE19&gt;=11,AE19&lt;=17),(7200000/AE19),IF(AND(M19="GARAJE",$C$12="PH",AE19&gt;=17),(((AE19/17)*7200000)/AE19),IF(AND(M19="PARQUEADERO",$C$12="PH",AE19&gt;=1,AE19&lt;11),810000,IF(AND(M19="PARQUEADERO",$C$12="PH",AE19&gt;=11,AE19&lt;=17),(9000000/AE19),IF(AND(M19="PARQUEADERO",$C$12="PH",AE19&gt;=17),(((AE19/17)*9000000)/AE19),IF(AND(M19="BODEGA",$C$12="PH",AE19&gt;=1,AE19&lt;=10),600000,IF(AND(M19="BODEGA",$C$12="PH",AE19&gt;=11,AE19&lt;=100),540000,IF(AND(M19="BODEGA",$C$12="PH",AE19&gt;=100),510000,IF(OR($C$11="",$C$12="",L19="",M19="",O19="",AE19=""),""))))))))))))))))))))))))))))))))))</f>
        <v/>
      </c>
      <c r="R19" s="78" t="e">
        <f t="shared" ref="R19:R32" si="7">MROUND(Q19*AE19,1000)</f>
        <v>#VALUE!</v>
      </c>
      <c r="S19" s="75" t="str">
        <f t="shared" ref="S19:S32" si="8">IFERROR(IF($O$10=2022,Q19,IF($O$10=2023,Q19*I19,IF($O$10=2024,Q19*I19*J19,IF($O$10=2025,Q19*I19*J19*K19)))),"")</f>
        <v/>
      </c>
      <c r="T19" s="75" t="str">
        <f t="shared" ref="T19:T32" si="9">IF(S19="","",MROUND(S19*P19,1000))</f>
        <v/>
      </c>
      <c r="U19" s="76"/>
      <c r="V19" s="74"/>
      <c r="W19" s="77" t="str">
        <f t="shared" ref="W19:W32" si="10">U19&amp;V19</f>
        <v/>
      </c>
      <c r="X19" s="85"/>
      <c r="Y19" s="133" t="str">
        <f>IF(OR(U19="",V19=""),"",VLOOKUP(W19,USO_ANE!$C$2:$E$61,3,FALSE))</f>
        <v/>
      </c>
      <c r="Z19" s="78" t="str">
        <f>_xlfn.IFNA(Y19,"EL TIPO NO COINCIDE")</f>
        <v/>
      </c>
      <c r="AA19" s="78" t="str">
        <f t="shared" ref="AA19:AA32" si="11">IFERROR(IF($O$10=2022,Y19,IF($O$10=2023,Y19*I19,IF($O$10=2024,Y19*I19*J19,IF($O$10=2025,Y19*I19*J19*K19)))),"")</f>
        <v/>
      </c>
      <c r="AB19" s="78" t="e">
        <f t="shared" ref="AB19:AB32" si="12">MROUND(Z19*AF19,1000)</f>
        <v>#VALUE!</v>
      </c>
      <c r="AC19" s="78" t="str">
        <f t="shared" ref="AC19:AC32" si="13">IFERROR(MROUND(AA19*X19,1000),"")</f>
        <v/>
      </c>
      <c r="AD19" s="88">
        <f t="shared" si="1"/>
        <v>0</v>
      </c>
      <c r="AE19" s="89">
        <f t="shared" ref="AE19:AE32" si="14">+ROUND(P19,2)</f>
        <v>0</v>
      </c>
      <c r="AF19" s="89">
        <f t="shared" ref="AF19:AF32" si="15">+ROUND(X19,2)</f>
        <v>0</v>
      </c>
      <c r="AG19" s="131"/>
      <c r="AH19" s="132"/>
      <c r="AJ19" s="134"/>
      <c r="AK19" s="125"/>
      <c r="AL19" s="125"/>
      <c r="AM19" s="125"/>
    </row>
    <row r="20" spans="1:39" s="126" customFormat="1" ht="14" x14ac:dyDescent="0.3">
      <c r="A20" s="69"/>
      <c r="B20" s="70"/>
      <c r="C20" s="84"/>
      <c r="D20" s="71" t="str">
        <f t="shared" si="2"/>
        <v/>
      </c>
      <c r="E20" s="71" t="e">
        <f>VLOOKUP(B20,ZHG!$C$2:$D$124,2,FALSE)</f>
        <v>#N/A</v>
      </c>
      <c r="F20" s="71" t="e">
        <f t="shared" si="0"/>
        <v>#N/A</v>
      </c>
      <c r="G20" s="71" t="e">
        <f t="shared" si="3"/>
        <v>#N/A</v>
      </c>
      <c r="H20" s="71" t="str">
        <f t="shared" si="4"/>
        <v/>
      </c>
      <c r="I20" s="96" t="e">
        <f>VLOOKUP($F$12,INCREMENTO!$C$2:$D$5,2,FALSE)</f>
        <v>#N/A</v>
      </c>
      <c r="J20" s="96" t="e">
        <f>VLOOKUP($F$12,INCREMENTO!$C$2:$E$5,3,FALSE)</f>
        <v>#N/A</v>
      </c>
      <c r="K20" s="96">
        <v>1.03</v>
      </c>
      <c r="L20" s="69"/>
      <c r="M20" s="72" t="str">
        <f t="shared" si="5"/>
        <v/>
      </c>
      <c r="N20" s="73"/>
      <c r="O20" s="74"/>
      <c r="P20" s="85"/>
      <c r="Q20" s="78" t="str">
        <f t="shared" si="6"/>
        <v/>
      </c>
      <c r="R20" s="78" t="e">
        <f t="shared" si="7"/>
        <v>#VALUE!</v>
      </c>
      <c r="S20" s="75" t="str">
        <f t="shared" si="8"/>
        <v/>
      </c>
      <c r="T20" s="75" t="str">
        <f t="shared" si="9"/>
        <v/>
      </c>
      <c r="U20" s="76"/>
      <c r="V20" s="74"/>
      <c r="W20" s="77" t="str">
        <f t="shared" si="10"/>
        <v/>
      </c>
      <c r="X20" s="85"/>
      <c r="Y20" s="133" t="str">
        <f>IF(OR(U20="",V20=""),"",VLOOKUP(W20,USO_ANE!$C$2:$E$61,3,FALSE))</f>
        <v/>
      </c>
      <c r="Z20" s="78" t="str">
        <f t="shared" ref="Z20:Z32" si="16">_xlfn.IFNA(Y20,"EL TIPO NO COINCIDE")</f>
        <v/>
      </c>
      <c r="AA20" s="78" t="str">
        <f t="shared" si="11"/>
        <v/>
      </c>
      <c r="AB20" s="78" t="e">
        <f t="shared" si="12"/>
        <v>#VALUE!</v>
      </c>
      <c r="AC20" s="78" t="str">
        <f t="shared" si="13"/>
        <v/>
      </c>
      <c r="AD20" s="88">
        <f t="shared" si="1"/>
        <v>0</v>
      </c>
      <c r="AE20" s="89">
        <f t="shared" si="14"/>
        <v>0</v>
      </c>
      <c r="AF20" s="89">
        <f t="shared" si="15"/>
        <v>0</v>
      </c>
      <c r="AG20" s="131"/>
      <c r="AH20" s="132"/>
      <c r="AJ20" s="125"/>
      <c r="AK20" s="125"/>
      <c r="AL20" s="125"/>
      <c r="AM20" s="125"/>
    </row>
    <row r="21" spans="1:39" s="126" customFormat="1" ht="14" x14ac:dyDescent="0.3">
      <c r="A21" s="69"/>
      <c r="B21" s="70"/>
      <c r="C21" s="84"/>
      <c r="D21" s="71" t="str">
        <f t="shared" si="2"/>
        <v/>
      </c>
      <c r="E21" s="71" t="e">
        <f>VLOOKUP(B21,ZHG!$C$2:$D$124,2,FALSE)</f>
        <v>#N/A</v>
      </c>
      <c r="F21" s="71" t="e">
        <f t="shared" si="0"/>
        <v>#N/A</v>
      </c>
      <c r="G21" s="71" t="e">
        <f t="shared" si="3"/>
        <v>#N/A</v>
      </c>
      <c r="H21" s="71" t="str">
        <f t="shared" si="4"/>
        <v/>
      </c>
      <c r="I21" s="96" t="e">
        <f>VLOOKUP($F$12,INCREMENTO!$C$2:$D$5,2,FALSE)</f>
        <v>#N/A</v>
      </c>
      <c r="J21" s="96" t="e">
        <f>VLOOKUP($F$12,INCREMENTO!$C$2:$E$5,3,FALSE)</f>
        <v>#N/A</v>
      </c>
      <c r="K21" s="96">
        <v>1.03</v>
      </c>
      <c r="L21" s="69"/>
      <c r="M21" s="72" t="str">
        <f t="shared" si="5"/>
        <v/>
      </c>
      <c r="N21" s="73"/>
      <c r="O21" s="74"/>
      <c r="P21" s="85"/>
      <c r="Q21" s="78" t="str">
        <f t="shared" si="6"/>
        <v/>
      </c>
      <c r="R21" s="78" t="e">
        <f t="shared" si="7"/>
        <v>#VALUE!</v>
      </c>
      <c r="S21" s="75" t="str">
        <f t="shared" si="8"/>
        <v/>
      </c>
      <c r="T21" s="75" t="str">
        <f t="shared" si="9"/>
        <v/>
      </c>
      <c r="U21" s="76"/>
      <c r="V21" s="74"/>
      <c r="W21" s="77" t="str">
        <f t="shared" si="10"/>
        <v/>
      </c>
      <c r="X21" s="85"/>
      <c r="Y21" s="133" t="str">
        <f>IF(OR(U21="",V21=""),"",VLOOKUP(W21,USO_ANE!$C$2:$E$61,3,FALSE))</f>
        <v/>
      </c>
      <c r="Z21" s="78" t="str">
        <f t="shared" si="16"/>
        <v/>
      </c>
      <c r="AA21" s="78" t="str">
        <f t="shared" si="11"/>
        <v/>
      </c>
      <c r="AB21" s="78" t="e">
        <f t="shared" si="12"/>
        <v>#VALUE!</v>
      </c>
      <c r="AC21" s="78" t="str">
        <f t="shared" si="13"/>
        <v/>
      </c>
      <c r="AD21" s="88">
        <f t="shared" si="1"/>
        <v>0</v>
      </c>
      <c r="AE21" s="89">
        <f t="shared" si="14"/>
        <v>0</v>
      </c>
      <c r="AF21" s="89">
        <f t="shared" si="15"/>
        <v>0</v>
      </c>
      <c r="AG21" s="131"/>
      <c r="AH21" s="132"/>
      <c r="AJ21" s="125"/>
      <c r="AK21" s="125"/>
      <c r="AL21" s="125"/>
      <c r="AM21" s="125"/>
    </row>
    <row r="22" spans="1:39" s="125" customFormat="1" ht="14" x14ac:dyDescent="0.3">
      <c r="A22" s="69"/>
      <c r="B22" s="70"/>
      <c r="C22" s="84"/>
      <c r="D22" s="71" t="str">
        <f t="shared" si="2"/>
        <v/>
      </c>
      <c r="E22" s="71" t="e">
        <f>VLOOKUP(B22,ZHG!$C$2:$D$124,2,FALSE)</f>
        <v>#N/A</v>
      </c>
      <c r="F22" s="71" t="e">
        <f t="shared" si="0"/>
        <v>#N/A</v>
      </c>
      <c r="G22" s="71" t="e">
        <f t="shared" si="3"/>
        <v>#N/A</v>
      </c>
      <c r="H22" s="71" t="str">
        <f t="shared" si="4"/>
        <v/>
      </c>
      <c r="I22" s="96" t="e">
        <f>VLOOKUP($F$12,INCREMENTO!$C$2:$D$5,2,FALSE)</f>
        <v>#N/A</v>
      </c>
      <c r="J22" s="96" t="e">
        <f>VLOOKUP($F$12,INCREMENTO!$C$2:$E$5,3,FALSE)</f>
        <v>#N/A</v>
      </c>
      <c r="K22" s="96">
        <v>1.03</v>
      </c>
      <c r="L22" s="69"/>
      <c r="M22" s="72" t="str">
        <f t="shared" si="5"/>
        <v/>
      </c>
      <c r="N22" s="73"/>
      <c r="O22" s="79"/>
      <c r="P22" s="86"/>
      <c r="Q22" s="78" t="str">
        <f t="shared" si="6"/>
        <v/>
      </c>
      <c r="R22" s="78" t="e">
        <f t="shared" si="7"/>
        <v>#VALUE!</v>
      </c>
      <c r="S22" s="75" t="str">
        <f t="shared" si="8"/>
        <v/>
      </c>
      <c r="T22" s="75" t="str">
        <f t="shared" si="9"/>
        <v/>
      </c>
      <c r="U22" s="76"/>
      <c r="V22" s="74"/>
      <c r="W22" s="77" t="str">
        <f t="shared" si="10"/>
        <v/>
      </c>
      <c r="X22" s="85"/>
      <c r="Y22" s="133" t="str">
        <f>IF(OR(U22="",V22=""),"",VLOOKUP(W22,USO_ANE!$C$2:$E$61,3,FALSE))</f>
        <v/>
      </c>
      <c r="Z22" s="78" t="str">
        <f t="shared" si="16"/>
        <v/>
      </c>
      <c r="AA22" s="78" t="str">
        <f t="shared" si="11"/>
        <v/>
      </c>
      <c r="AB22" s="78" t="e">
        <f t="shared" si="12"/>
        <v>#VALUE!</v>
      </c>
      <c r="AC22" s="78" t="str">
        <f t="shared" si="13"/>
        <v/>
      </c>
      <c r="AD22" s="88">
        <f t="shared" si="1"/>
        <v>0</v>
      </c>
      <c r="AE22" s="89">
        <f t="shared" si="14"/>
        <v>0</v>
      </c>
      <c r="AF22" s="89">
        <f t="shared" si="15"/>
        <v>0</v>
      </c>
      <c r="AG22" s="131"/>
      <c r="AH22" s="132"/>
      <c r="AI22" s="126"/>
    </row>
    <row r="23" spans="1:39" s="125" customFormat="1" ht="14" x14ac:dyDescent="0.3">
      <c r="A23" s="69"/>
      <c r="B23" s="70"/>
      <c r="C23" s="84"/>
      <c r="D23" s="71" t="str">
        <f t="shared" si="2"/>
        <v/>
      </c>
      <c r="E23" s="71" t="e">
        <f>VLOOKUP(B23,ZHG!$C$2:$D$124,2,FALSE)</f>
        <v>#N/A</v>
      </c>
      <c r="F23" s="71" t="e">
        <f t="shared" si="0"/>
        <v>#N/A</v>
      </c>
      <c r="G23" s="71" t="e">
        <f t="shared" si="3"/>
        <v>#N/A</v>
      </c>
      <c r="H23" s="71" t="str">
        <f t="shared" si="4"/>
        <v/>
      </c>
      <c r="I23" s="96" t="e">
        <f>VLOOKUP($F$12,INCREMENTO!$C$2:$D$5,2,FALSE)</f>
        <v>#N/A</v>
      </c>
      <c r="J23" s="96" t="e">
        <f>VLOOKUP($F$12,INCREMENTO!$C$2:$E$5,3,FALSE)</f>
        <v>#N/A</v>
      </c>
      <c r="K23" s="96">
        <v>1.03</v>
      </c>
      <c r="L23" s="69"/>
      <c r="M23" s="72" t="str">
        <f t="shared" si="5"/>
        <v/>
      </c>
      <c r="N23" s="73"/>
      <c r="O23" s="79"/>
      <c r="P23" s="86"/>
      <c r="Q23" s="78" t="str">
        <f t="shared" si="6"/>
        <v/>
      </c>
      <c r="R23" s="78" t="e">
        <f t="shared" si="7"/>
        <v>#VALUE!</v>
      </c>
      <c r="S23" s="75" t="str">
        <f t="shared" si="8"/>
        <v/>
      </c>
      <c r="T23" s="75" t="str">
        <f t="shared" si="9"/>
        <v/>
      </c>
      <c r="U23" s="76"/>
      <c r="V23" s="73"/>
      <c r="W23" s="77" t="str">
        <f t="shared" si="10"/>
        <v/>
      </c>
      <c r="X23" s="87"/>
      <c r="Y23" s="133" t="str">
        <f>IF(OR(U23="",V23=""),"",VLOOKUP(W23,USO_ANE!$C$2:$E$61,3,FALSE))</f>
        <v/>
      </c>
      <c r="Z23" s="78" t="str">
        <f t="shared" si="16"/>
        <v/>
      </c>
      <c r="AA23" s="78" t="str">
        <f t="shared" si="11"/>
        <v/>
      </c>
      <c r="AB23" s="78" t="e">
        <f t="shared" si="12"/>
        <v>#VALUE!</v>
      </c>
      <c r="AC23" s="78" t="str">
        <f t="shared" si="13"/>
        <v/>
      </c>
      <c r="AD23" s="88">
        <f t="shared" si="1"/>
        <v>0</v>
      </c>
      <c r="AE23" s="89">
        <f t="shared" si="14"/>
        <v>0</v>
      </c>
      <c r="AF23" s="89">
        <f t="shared" si="15"/>
        <v>0</v>
      </c>
      <c r="AG23" s="131"/>
      <c r="AH23" s="132"/>
      <c r="AI23" s="126"/>
    </row>
    <row r="24" spans="1:39" s="125" customFormat="1" ht="14" x14ac:dyDescent="0.3">
      <c r="A24" s="69"/>
      <c r="B24" s="70"/>
      <c r="C24" s="84"/>
      <c r="D24" s="71" t="str">
        <f t="shared" si="2"/>
        <v/>
      </c>
      <c r="E24" s="71" t="e">
        <f>VLOOKUP(B24,ZHG!$C$2:$D$124,2,FALSE)</f>
        <v>#N/A</v>
      </c>
      <c r="F24" s="71" t="e">
        <f t="shared" si="0"/>
        <v>#N/A</v>
      </c>
      <c r="G24" s="71" t="e">
        <f t="shared" si="3"/>
        <v>#N/A</v>
      </c>
      <c r="H24" s="71" t="str">
        <f t="shared" si="4"/>
        <v/>
      </c>
      <c r="I24" s="96" t="e">
        <f>VLOOKUP($F$12,INCREMENTO!$C$2:$D$5,2,FALSE)</f>
        <v>#N/A</v>
      </c>
      <c r="J24" s="96" t="e">
        <f>VLOOKUP($F$12,INCREMENTO!$C$2:$E$5,3,FALSE)</f>
        <v>#N/A</v>
      </c>
      <c r="K24" s="96">
        <v>1.03</v>
      </c>
      <c r="L24" s="69"/>
      <c r="M24" s="72" t="str">
        <f t="shared" si="5"/>
        <v/>
      </c>
      <c r="N24" s="73"/>
      <c r="O24" s="79"/>
      <c r="P24" s="86"/>
      <c r="Q24" s="78" t="str">
        <f t="shared" si="6"/>
        <v/>
      </c>
      <c r="R24" s="78" t="e">
        <f t="shared" si="7"/>
        <v>#VALUE!</v>
      </c>
      <c r="S24" s="75" t="str">
        <f t="shared" si="8"/>
        <v/>
      </c>
      <c r="T24" s="75" t="str">
        <f t="shared" si="9"/>
        <v/>
      </c>
      <c r="U24" s="76"/>
      <c r="V24" s="73"/>
      <c r="W24" s="77" t="str">
        <f t="shared" si="10"/>
        <v/>
      </c>
      <c r="X24" s="87"/>
      <c r="Y24" s="133" t="str">
        <f>IF(OR(U24="",V24=""),"",VLOOKUP(W24,USO_ANE!$C$2:$E$61,3,FALSE))</f>
        <v/>
      </c>
      <c r="Z24" s="78" t="str">
        <f t="shared" si="16"/>
        <v/>
      </c>
      <c r="AA24" s="78" t="str">
        <f t="shared" si="11"/>
        <v/>
      </c>
      <c r="AB24" s="78" t="e">
        <f t="shared" si="12"/>
        <v>#VALUE!</v>
      </c>
      <c r="AC24" s="78" t="str">
        <f t="shared" si="13"/>
        <v/>
      </c>
      <c r="AD24" s="88">
        <f t="shared" si="1"/>
        <v>0</v>
      </c>
      <c r="AE24" s="89">
        <f t="shared" si="14"/>
        <v>0</v>
      </c>
      <c r="AF24" s="89">
        <f t="shared" si="15"/>
        <v>0</v>
      </c>
      <c r="AG24" s="131"/>
      <c r="AH24" s="132"/>
      <c r="AI24" s="126"/>
    </row>
    <row r="25" spans="1:39" s="125" customFormat="1" ht="14" x14ac:dyDescent="0.3">
      <c r="A25" s="69"/>
      <c r="B25" s="70"/>
      <c r="C25" s="84"/>
      <c r="D25" s="71" t="str">
        <f t="shared" si="2"/>
        <v/>
      </c>
      <c r="E25" s="71" t="e">
        <f>VLOOKUP(B25,ZHG!$C$2:$D$124,2,FALSE)</f>
        <v>#N/A</v>
      </c>
      <c r="F25" s="71" t="e">
        <f t="shared" si="0"/>
        <v>#N/A</v>
      </c>
      <c r="G25" s="71" t="e">
        <f t="shared" si="3"/>
        <v>#N/A</v>
      </c>
      <c r="H25" s="71" t="str">
        <f t="shared" si="4"/>
        <v/>
      </c>
      <c r="I25" s="96" t="e">
        <f>VLOOKUP($F$12,INCREMENTO!$C$2:$D$5,2,FALSE)</f>
        <v>#N/A</v>
      </c>
      <c r="J25" s="96" t="e">
        <f>VLOOKUP($F$12,INCREMENTO!$C$2:$E$5,3,FALSE)</f>
        <v>#N/A</v>
      </c>
      <c r="K25" s="96">
        <v>1.03</v>
      </c>
      <c r="L25" s="69"/>
      <c r="M25" s="72" t="str">
        <f t="shared" si="5"/>
        <v/>
      </c>
      <c r="N25" s="73"/>
      <c r="O25" s="79"/>
      <c r="P25" s="86"/>
      <c r="Q25" s="78" t="str">
        <f t="shared" si="6"/>
        <v/>
      </c>
      <c r="R25" s="78" t="e">
        <f t="shared" si="7"/>
        <v>#VALUE!</v>
      </c>
      <c r="S25" s="75" t="str">
        <f t="shared" si="8"/>
        <v/>
      </c>
      <c r="T25" s="75" t="str">
        <f t="shared" si="9"/>
        <v/>
      </c>
      <c r="U25" s="76"/>
      <c r="V25" s="73"/>
      <c r="W25" s="77" t="str">
        <f t="shared" si="10"/>
        <v/>
      </c>
      <c r="X25" s="87"/>
      <c r="Y25" s="133" t="str">
        <f>IF(OR(U25="",V25=""),"",VLOOKUP(W25,USO_ANE!$C$2:$E$61,3,FALSE))</f>
        <v/>
      </c>
      <c r="Z25" s="78" t="str">
        <f t="shared" si="16"/>
        <v/>
      </c>
      <c r="AA25" s="78" t="str">
        <f t="shared" si="11"/>
        <v/>
      </c>
      <c r="AB25" s="78" t="e">
        <f t="shared" si="12"/>
        <v>#VALUE!</v>
      </c>
      <c r="AC25" s="78" t="str">
        <f t="shared" si="13"/>
        <v/>
      </c>
      <c r="AD25" s="88">
        <f t="shared" si="1"/>
        <v>0</v>
      </c>
      <c r="AE25" s="89">
        <f t="shared" si="14"/>
        <v>0</v>
      </c>
      <c r="AF25" s="89">
        <f t="shared" si="15"/>
        <v>0</v>
      </c>
      <c r="AG25" s="131"/>
      <c r="AH25" s="132"/>
      <c r="AI25" s="126"/>
    </row>
    <row r="26" spans="1:39" s="125" customFormat="1" ht="14" x14ac:dyDescent="0.3">
      <c r="A26" s="69"/>
      <c r="B26" s="70"/>
      <c r="C26" s="84"/>
      <c r="D26" s="71" t="str">
        <f t="shared" si="2"/>
        <v/>
      </c>
      <c r="E26" s="71" t="e">
        <f>VLOOKUP(B26,ZHG!$C$2:$D$124,2,FALSE)</f>
        <v>#N/A</v>
      </c>
      <c r="F26" s="71" t="e">
        <f t="shared" si="0"/>
        <v>#N/A</v>
      </c>
      <c r="G26" s="71" t="e">
        <f t="shared" si="3"/>
        <v>#N/A</v>
      </c>
      <c r="H26" s="71" t="str">
        <f t="shared" si="4"/>
        <v/>
      </c>
      <c r="I26" s="96" t="e">
        <f>VLOOKUP($F$12,INCREMENTO!$C$2:$D$5,2,FALSE)</f>
        <v>#N/A</v>
      </c>
      <c r="J26" s="96" t="e">
        <f>VLOOKUP($F$12,INCREMENTO!$C$2:$E$5,3,FALSE)</f>
        <v>#N/A</v>
      </c>
      <c r="K26" s="96">
        <v>1.03</v>
      </c>
      <c r="L26" s="69"/>
      <c r="M26" s="72" t="str">
        <f t="shared" si="5"/>
        <v/>
      </c>
      <c r="N26" s="73"/>
      <c r="O26" s="79"/>
      <c r="P26" s="86"/>
      <c r="Q26" s="78" t="str">
        <f t="shared" si="6"/>
        <v/>
      </c>
      <c r="R26" s="78" t="e">
        <f t="shared" si="7"/>
        <v>#VALUE!</v>
      </c>
      <c r="S26" s="75" t="str">
        <f t="shared" si="8"/>
        <v/>
      </c>
      <c r="T26" s="75" t="str">
        <f t="shared" si="9"/>
        <v/>
      </c>
      <c r="U26" s="76"/>
      <c r="V26" s="73"/>
      <c r="W26" s="77" t="str">
        <f t="shared" si="10"/>
        <v/>
      </c>
      <c r="X26" s="87"/>
      <c r="Y26" s="133" t="str">
        <f>IF(OR(U26="",V26=""),"",VLOOKUP(W26,USO_ANE!$C$2:$E$61,3,FALSE))</f>
        <v/>
      </c>
      <c r="Z26" s="78" t="str">
        <f t="shared" si="16"/>
        <v/>
      </c>
      <c r="AA26" s="78" t="str">
        <f t="shared" si="11"/>
        <v/>
      </c>
      <c r="AB26" s="78" t="e">
        <f t="shared" si="12"/>
        <v>#VALUE!</v>
      </c>
      <c r="AC26" s="78" t="str">
        <f t="shared" si="13"/>
        <v/>
      </c>
      <c r="AD26" s="88">
        <f t="shared" si="1"/>
        <v>0</v>
      </c>
      <c r="AE26" s="89">
        <f t="shared" si="14"/>
        <v>0</v>
      </c>
      <c r="AF26" s="89">
        <f t="shared" si="15"/>
        <v>0</v>
      </c>
      <c r="AG26" s="131"/>
      <c r="AH26" s="132"/>
      <c r="AI26" s="126"/>
    </row>
    <row r="27" spans="1:39" s="125" customFormat="1" ht="14" x14ac:dyDescent="0.3">
      <c r="A27" s="69"/>
      <c r="B27" s="70"/>
      <c r="C27" s="84"/>
      <c r="D27" s="71" t="str">
        <f t="shared" si="2"/>
        <v/>
      </c>
      <c r="E27" s="71" t="e">
        <f>VLOOKUP(B27,ZHG!$C$2:$D$124,2,FALSE)</f>
        <v>#N/A</v>
      </c>
      <c r="F27" s="71" t="e">
        <f t="shared" si="0"/>
        <v>#N/A</v>
      </c>
      <c r="G27" s="71" t="e">
        <f t="shared" si="3"/>
        <v>#N/A</v>
      </c>
      <c r="H27" s="71" t="str">
        <f t="shared" si="4"/>
        <v/>
      </c>
      <c r="I27" s="96" t="e">
        <f>VLOOKUP($F$12,INCREMENTO!$C$2:$D$5,2,FALSE)</f>
        <v>#N/A</v>
      </c>
      <c r="J27" s="96" t="e">
        <f>VLOOKUP($F$12,INCREMENTO!$C$2:$E$5,3,FALSE)</f>
        <v>#N/A</v>
      </c>
      <c r="K27" s="96">
        <v>1.03</v>
      </c>
      <c r="L27" s="69"/>
      <c r="M27" s="72" t="str">
        <f t="shared" si="5"/>
        <v/>
      </c>
      <c r="N27" s="73"/>
      <c r="O27" s="79"/>
      <c r="P27" s="86"/>
      <c r="Q27" s="78" t="str">
        <f t="shared" si="6"/>
        <v/>
      </c>
      <c r="R27" s="78" t="e">
        <f t="shared" si="7"/>
        <v>#VALUE!</v>
      </c>
      <c r="S27" s="75" t="str">
        <f t="shared" si="8"/>
        <v/>
      </c>
      <c r="T27" s="75" t="str">
        <f t="shared" si="9"/>
        <v/>
      </c>
      <c r="U27" s="76"/>
      <c r="V27" s="73"/>
      <c r="W27" s="77" t="str">
        <f t="shared" si="10"/>
        <v/>
      </c>
      <c r="X27" s="87"/>
      <c r="Y27" s="133" t="str">
        <f>IF(OR(U27="",V27=""),"",VLOOKUP(W27,USO_ANE!$C$2:$E$61,3,FALSE))</f>
        <v/>
      </c>
      <c r="Z27" s="78" t="str">
        <f t="shared" si="16"/>
        <v/>
      </c>
      <c r="AA27" s="78" t="str">
        <f t="shared" si="11"/>
        <v/>
      </c>
      <c r="AB27" s="78" t="e">
        <f t="shared" si="12"/>
        <v>#VALUE!</v>
      </c>
      <c r="AC27" s="78" t="str">
        <f t="shared" si="13"/>
        <v/>
      </c>
      <c r="AD27" s="88">
        <f t="shared" si="1"/>
        <v>0</v>
      </c>
      <c r="AE27" s="89">
        <f t="shared" si="14"/>
        <v>0</v>
      </c>
      <c r="AF27" s="89">
        <f t="shared" si="15"/>
        <v>0</v>
      </c>
    </row>
    <row r="28" spans="1:39" s="125" customFormat="1" ht="14" x14ac:dyDescent="0.3">
      <c r="A28" s="69"/>
      <c r="B28" s="70"/>
      <c r="C28" s="84"/>
      <c r="D28" s="71" t="str">
        <f t="shared" si="2"/>
        <v/>
      </c>
      <c r="E28" s="71" t="e">
        <f>VLOOKUP(B28,ZHG!$C$2:$D$124,2,FALSE)</f>
        <v>#N/A</v>
      </c>
      <c r="F28" s="71" t="e">
        <f t="shared" si="0"/>
        <v>#N/A</v>
      </c>
      <c r="G28" s="71" t="e">
        <f t="shared" si="3"/>
        <v>#N/A</v>
      </c>
      <c r="H28" s="71" t="str">
        <f t="shared" si="4"/>
        <v/>
      </c>
      <c r="I28" s="96" t="e">
        <f>VLOOKUP($F$12,INCREMENTO!$C$2:$D$5,2,FALSE)</f>
        <v>#N/A</v>
      </c>
      <c r="J28" s="96" t="e">
        <f>VLOOKUP($F$12,INCREMENTO!$C$2:$E$5,3,FALSE)</f>
        <v>#N/A</v>
      </c>
      <c r="K28" s="96">
        <v>1.03</v>
      </c>
      <c r="L28" s="69"/>
      <c r="M28" s="72" t="str">
        <f t="shared" si="5"/>
        <v/>
      </c>
      <c r="N28" s="73"/>
      <c r="O28" s="79"/>
      <c r="P28" s="86"/>
      <c r="Q28" s="78" t="str">
        <f t="shared" si="6"/>
        <v/>
      </c>
      <c r="R28" s="78" t="e">
        <f t="shared" si="7"/>
        <v>#VALUE!</v>
      </c>
      <c r="S28" s="75" t="str">
        <f t="shared" si="8"/>
        <v/>
      </c>
      <c r="T28" s="75" t="str">
        <f t="shared" si="9"/>
        <v/>
      </c>
      <c r="U28" s="76"/>
      <c r="V28" s="73"/>
      <c r="W28" s="77" t="str">
        <f t="shared" si="10"/>
        <v/>
      </c>
      <c r="X28" s="87"/>
      <c r="Y28" s="133" t="str">
        <f>IF(OR(U28="",V28=""),"",VLOOKUP(W28,USO_ANE!$C$2:$E$61,3,FALSE))</f>
        <v/>
      </c>
      <c r="Z28" s="78" t="str">
        <f t="shared" si="16"/>
        <v/>
      </c>
      <c r="AA28" s="78" t="str">
        <f t="shared" si="11"/>
        <v/>
      </c>
      <c r="AB28" s="78" t="e">
        <f t="shared" si="12"/>
        <v>#VALUE!</v>
      </c>
      <c r="AC28" s="78" t="str">
        <f t="shared" si="13"/>
        <v/>
      </c>
      <c r="AD28" s="88">
        <f t="shared" si="1"/>
        <v>0</v>
      </c>
      <c r="AE28" s="89">
        <f t="shared" si="14"/>
        <v>0</v>
      </c>
      <c r="AF28" s="89">
        <f t="shared" si="15"/>
        <v>0</v>
      </c>
    </row>
    <row r="29" spans="1:39" s="125" customFormat="1" ht="14" x14ac:dyDescent="0.3">
      <c r="A29" s="69"/>
      <c r="B29" s="70"/>
      <c r="C29" s="84"/>
      <c r="D29" s="71" t="str">
        <f t="shared" si="2"/>
        <v/>
      </c>
      <c r="E29" s="71" t="e">
        <f>VLOOKUP(B29,ZHG!$C$2:$D$124,2,FALSE)</f>
        <v>#N/A</v>
      </c>
      <c r="F29" s="71" t="e">
        <f t="shared" si="0"/>
        <v>#N/A</v>
      </c>
      <c r="G29" s="71" t="e">
        <f t="shared" si="3"/>
        <v>#N/A</v>
      </c>
      <c r="H29" s="71" t="str">
        <f t="shared" si="4"/>
        <v/>
      </c>
      <c r="I29" s="96" t="e">
        <f>VLOOKUP($F$12,INCREMENTO!$C$2:$D$5,2,FALSE)</f>
        <v>#N/A</v>
      </c>
      <c r="J29" s="96" t="e">
        <f>VLOOKUP($F$12,INCREMENTO!$C$2:$E$5,3,FALSE)</f>
        <v>#N/A</v>
      </c>
      <c r="K29" s="96">
        <v>1.03</v>
      </c>
      <c r="L29" s="69"/>
      <c r="M29" s="72" t="str">
        <f t="shared" si="5"/>
        <v/>
      </c>
      <c r="N29" s="73"/>
      <c r="O29" s="79"/>
      <c r="P29" s="86"/>
      <c r="Q29" s="78" t="str">
        <f t="shared" si="6"/>
        <v/>
      </c>
      <c r="R29" s="78" t="e">
        <f t="shared" si="7"/>
        <v>#VALUE!</v>
      </c>
      <c r="S29" s="75" t="str">
        <f t="shared" si="8"/>
        <v/>
      </c>
      <c r="T29" s="75" t="str">
        <f t="shared" si="9"/>
        <v/>
      </c>
      <c r="U29" s="76"/>
      <c r="V29" s="73"/>
      <c r="W29" s="77" t="str">
        <f t="shared" si="10"/>
        <v/>
      </c>
      <c r="X29" s="87"/>
      <c r="Y29" s="133" t="str">
        <f>IF(OR(U29="",V29=""),"",VLOOKUP(W29,USO_ANE!$C$2:$E$61,3,FALSE))</f>
        <v/>
      </c>
      <c r="Z29" s="78" t="str">
        <f t="shared" si="16"/>
        <v/>
      </c>
      <c r="AA29" s="78" t="str">
        <f t="shared" si="11"/>
        <v/>
      </c>
      <c r="AB29" s="78" t="e">
        <f t="shared" si="12"/>
        <v>#VALUE!</v>
      </c>
      <c r="AC29" s="78" t="str">
        <f t="shared" si="13"/>
        <v/>
      </c>
      <c r="AD29" s="88">
        <f t="shared" si="1"/>
        <v>0</v>
      </c>
      <c r="AE29" s="89">
        <f t="shared" si="14"/>
        <v>0</v>
      </c>
      <c r="AF29" s="89">
        <f t="shared" si="15"/>
        <v>0</v>
      </c>
    </row>
    <row r="30" spans="1:39" s="125" customFormat="1" ht="14" x14ac:dyDescent="0.3">
      <c r="A30" s="69"/>
      <c r="B30" s="70"/>
      <c r="C30" s="84"/>
      <c r="D30" s="71" t="str">
        <f t="shared" si="2"/>
        <v/>
      </c>
      <c r="E30" s="71" t="e">
        <f>VLOOKUP(B30,ZHG!$C$2:$D$124,2,FALSE)</f>
        <v>#N/A</v>
      </c>
      <c r="F30" s="71" t="e">
        <f t="shared" si="0"/>
        <v>#N/A</v>
      </c>
      <c r="G30" s="71" t="e">
        <f t="shared" si="3"/>
        <v>#N/A</v>
      </c>
      <c r="H30" s="71" t="str">
        <f t="shared" si="4"/>
        <v/>
      </c>
      <c r="I30" s="96" t="e">
        <f>VLOOKUP($F$12,INCREMENTO!$C$2:$D$5,2,FALSE)</f>
        <v>#N/A</v>
      </c>
      <c r="J30" s="96" t="e">
        <f>VLOOKUP($F$12,INCREMENTO!$C$2:$E$5,3,FALSE)</f>
        <v>#N/A</v>
      </c>
      <c r="K30" s="96">
        <v>1.03</v>
      </c>
      <c r="L30" s="69"/>
      <c r="M30" s="72" t="str">
        <f t="shared" si="5"/>
        <v/>
      </c>
      <c r="N30" s="73"/>
      <c r="O30" s="79"/>
      <c r="P30" s="86"/>
      <c r="Q30" s="78" t="str">
        <f t="shared" si="6"/>
        <v/>
      </c>
      <c r="R30" s="78" t="e">
        <f t="shared" si="7"/>
        <v>#VALUE!</v>
      </c>
      <c r="S30" s="75" t="str">
        <f t="shared" si="8"/>
        <v/>
      </c>
      <c r="T30" s="75" t="str">
        <f t="shared" si="9"/>
        <v/>
      </c>
      <c r="U30" s="76"/>
      <c r="V30" s="73"/>
      <c r="W30" s="77" t="str">
        <f t="shared" si="10"/>
        <v/>
      </c>
      <c r="X30" s="87"/>
      <c r="Y30" s="133" t="str">
        <f>IF(OR(U30="",V30=""),"",VLOOKUP(W30,USO_ANE!$C$2:$E$61,3,FALSE))</f>
        <v/>
      </c>
      <c r="Z30" s="78" t="str">
        <f t="shared" si="16"/>
        <v/>
      </c>
      <c r="AA30" s="78" t="str">
        <f t="shared" si="11"/>
        <v/>
      </c>
      <c r="AB30" s="78" t="e">
        <f t="shared" si="12"/>
        <v>#VALUE!</v>
      </c>
      <c r="AC30" s="78" t="str">
        <f t="shared" si="13"/>
        <v/>
      </c>
      <c r="AD30" s="88">
        <f t="shared" si="1"/>
        <v>0</v>
      </c>
      <c r="AE30" s="89">
        <f t="shared" si="14"/>
        <v>0</v>
      </c>
      <c r="AF30" s="89">
        <f t="shared" si="15"/>
        <v>0</v>
      </c>
    </row>
    <row r="31" spans="1:39" s="125" customFormat="1" ht="14" x14ac:dyDescent="0.3">
      <c r="A31" s="69"/>
      <c r="B31" s="70"/>
      <c r="C31" s="84"/>
      <c r="D31" s="71" t="str">
        <f t="shared" si="2"/>
        <v/>
      </c>
      <c r="E31" s="71" t="e">
        <f>VLOOKUP(B31,ZHG!$C$2:$D$124,2,FALSE)</f>
        <v>#N/A</v>
      </c>
      <c r="F31" s="71" t="e">
        <f t="shared" si="0"/>
        <v>#N/A</v>
      </c>
      <c r="G31" s="71" t="e">
        <f t="shared" si="3"/>
        <v>#N/A</v>
      </c>
      <c r="H31" s="71" t="str">
        <f t="shared" si="4"/>
        <v/>
      </c>
      <c r="I31" s="96" t="e">
        <f>VLOOKUP($F$12,INCREMENTO!$C$2:$D$5,2,FALSE)</f>
        <v>#N/A</v>
      </c>
      <c r="J31" s="96" t="e">
        <f>VLOOKUP($F$12,INCREMENTO!$C$2:$E$5,3,FALSE)</f>
        <v>#N/A</v>
      </c>
      <c r="K31" s="96">
        <v>1.03</v>
      </c>
      <c r="L31" s="69"/>
      <c r="M31" s="72" t="str">
        <f t="shared" si="5"/>
        <v/>
      </c>
      <c r="N31" s="73"/>
      <c r="O31" s="79"/>
      <c r="P31" s="86"/>
      <c r="Q31" s="78" t="str">
        <f t="shared" si="6"/>
        <v/>
      </c>
      <c r="R31" s="78" t="e">
        <f t="shared" si="7"/>
        <v>#VALUE!</v>
      </c>
      <c r="S31" s="75" t="str">
        <f t="shared" si="8"/>
        <v/>
      </c>
      <c r="T31" s="75" t="str">
        <f t="shared" si="9"/>
        <v/>
      </c>
      <c r="U31" s="76"/>
      <c r="V31" s="73"/>
      <c r="W31" s="77" t="str">
        <f t="shared" si="10"/>
        <v/>
      </c>
      <c r="X31" s="87"/>
      <c r="Y31" s="133" t="str">
        <f>IF(OR(U31="",V31=""),"",VLOOKUP(W31,USO_ANE!$C$2:$E$61,3,FALSE))</f>
        <v/>
      </c>
      <c r="Z31" s="78" t="str">
        <f t="shared" si="16"/>
        <v/>
      </c>
      <c r="AA31" s="78" t="str">
        <f t="shared" si="11"/>
        <v/>
      </c>
      <c r="AB31" s="78" t="e">
        <f t="shared" si="12"/>
        <v>#VALUE!</v>
      </c>
      <c r="AC31" s="78" t="str">
        <f t="shared" si="13"/>
        <v/>
      </c>
      <c r="AD31" s="88">
        <f t="shared" si="1"/>
        <v>0</v>
      </c>
      <c r="AE31" s="89">
        <f t="shared" si="14"/>
        <v>0</v>
      </c>
      <c r="AF31" s="89">
        <f t="shared" si="15"/>
        <v>0</v>
      </c>
    </row>
    <row r="32" spans="1:39" s="125" customFormat="1" ht="14" x14ac:dyDescent="0.3">
      <c r="A32" s="69"/>
      <c r="B32" s="70"/>
      <c r="C32" s="84"/>
      <c r="D32" s="71" t="str">
        <f t="shared" si="2"/>
        <v/>
      </c>
      <c r="E32" s="71" t="e">
        <f>VLOOKUP(B32,ZHG!$C$2:$D$124,2,FALSE)</f>
        <v>#N/A</v>
      </c>
      <c r="F32" s="71" t="e">
        <f t="shared" si="0"/>
        <v>#N/A</v>
      </c>
      <c r="G32" s="71" t="e">
        <f t="shared" si="3"/>
        <v>#N/A</v>
      </c>
      <c r="H32" s="71" t="str">
        <f t="shared" si="4"/>
        <v/>
      </c>
      <c r="I32" s="96" t="e">
        <f>VLOOKUP($F$12,INCREMENTO!$C$2:$D$5,2,FALSE)</f>
        <v>#N/A</v>
      </c>
      <c r="J32" s="96" t="e">
        <f>VLOOKUP($F$12,INCREMENTO!$C$2:$E$5,3,FALSE)</f>
        <v>#N/A</v>
      </c>
      <c r="K32" s="96">
        <v>1.03</v>
      </c>
      <c r="L32" s="69"/>
      <c r="M32" s="72" t="str">
        <f t="shared" si="5"/>
        <v/>
      </c>
      <c r="N32" s="73"/>
      <c r="O32" s="79"/>
      <c r="P32" s="86"/>
      <c r="Q32" s="78" t="str">
        <f t="shared" si="6"/>
        <v/>
      </c>
      <c r="R32" s="78" t="e">
        <f t="shared" si="7"/>
        <v>#VALUE!</v>
      </c>
      <c r="S32" s="75" t="str">
        <f t="shared" si="8"/>
        <v/>
      </c>
      <c r="T32" s="75" t="str">
        <f t="shared" si="9"/>
        <v/>
      </c>
      <c r="U32" s="76"/>
      <c r="V32" s="73"/>
      <c r="W32" s="77" t="str">
        <f t="shared" si="10"/>
        <v/>
      </c>
      <c r="X32" s="87"/>
      <c r="Y32" s="133" t="str">
        <f>IF(OR(U32="",V32=""),"",VLOOKUP(W32,USO_ANE!$C$2:$E$61,3,FALSE))</f>
        <v/>
      </c>
      <c r="Z32" s="78" t="str">
        <f t="shared" si="16"/>
        <v/>
      </c>
      <c r="AA32" s="78" t="str">
        <f t="shared" si="11"/>
        <v/>
      </c>
      <c r="AB32" s="78" t="e">
        <f t="shared" si="12"/>
        <v>#VALUE!</v>
      </c>
      <c r="AC32" s="78" t="str">
        <f t="shared" si="13"/>
        <v/>
      </c>
      <c r="AD32" s="88">
        <f t="shared" si="1"/>
        <v>0</v>
      </c>
      <c r="AE32" s="89">
        <f t="shared" si="14"/>
        <v>0</v>
      </c>
      <c r="AF32" s="89">
        <f t="shared" si="15"/>
        <v>0</v>
      </c>
    </row>
    <row r="33" spans="2:29" s="37" customFormat="1" x14ac:dyDescent="0.35">
      <c r="B33" s="100"/>
      <c r="C33" s="42"/>
      <c r="D33" s="135"/>
      <c r="E33" s="135"/>
      <c r="F33" s="136" t="str">
        <f>IFERROR(SUM(F18:F32),"")</f>
        <v/>
      </c>
      <c r="G33" s="98" t="str">
        <f>+IFERROR(IF($C$11="RURAL",MROUND(F33*1.03,1),IF($C$11="URBANO",MROUND(1.0431*F33,1),"")),"")</f>
        <v/>
      </c>
      <c r="H33" s="99"/>
      <c r="I33" s="98"/>
      <c r="J33" s="98"/>
      <c r="K33" s="98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</row>
    <row r="34" spans="2:29" s="37" customFormat="1" x14ac:dyDescent="0.35">
      <c r="B34" s="100"/>
      <c r="C34" s="42"/>
      <c r="D34" s="41"/>
      <c r="E34" s="41"/>
      <c r="F34" s="137"/>
      <c r="G34" s="41"/>
      <c r="H34" s="41"/>
      <c r="I34" s="41"/>
      <c r="J34" s="41"/>
      <c r="K34" s="41"/>
      <c r="L34" s="41"/>
      <c r="O34" s="47"/>
      <c r="P34" s="47"/>
    </row>
    <row r="35" spans="2:29" s="37" customFormat="1" x14ac:dyDescent="0.35">
      <c r="B35" s="100"/>
      <c r="C35" s="42"/>
      <c r="D35" s="41"/>
      <c r="E35" s="41"/>
      <c r="F35" s="137"/>
      <c r="G35" s="41"/>
      <c r="H35" s="41"/>
      <c r="I35" s="41"/>
      <c r="J35" s="41"/>
      <c r="K35" s="41"/>
      <c r="L35" s="41"/>
    </row>
    <row r="36" spans="2:29" s="37" customFormat="1" x14ac:dyDescent="0.35">
      <c r="B36" s="100"/>
      <c r="C36" s="42"/>
      <c r="D36" s="41"/>
      <c r="E36" s="41"/>
      <c r="F36" s="137"/>
      <c r="G36" s="41"/>
      <c r="H36" s="41"/>
      <c r="I36" s="41"/>
      <c r="J36" s="41"/>
      <c r="K36" s="41"/>
      <c r="L36" s="41"/>
    </row>
    <row r="37" spans="2:29" s="37" customFormat="1" x14ac:dyDescent="0.35">
      <c r="B37" s="100"/>
      <c r="C37" s="42"/>
      <c r="D37" s="41"/>
      <c r="E37" s="41"/>
      <c r="F37" s="41"/>
      <c r="G37" s="41"/>
      <c r="H37" s="41"/>
      <c r="I37" s="41"/>
      <c r="J37" s="41"/>
      <c r="K37" s="41"/>
      <c r="L37" s="41"/>
      <c r="N37" s="100"/>
    </row>
    <row r="38" spans="2:29" x14ac:dyDescent="0.35">
      <c r="C38" s="139"/>
      <c r="D38" s="120"/>
      <c r="E38" s="120"/>
      <c r="F38" s="41"/>
      <c r="G38" s="41"/>
      <c r="H38" s="41"/>
      <c r="I38" s="41"/>
      <c r="J38" s="41"/>
      <c r="K38" s="41"/>
      <c r="L38" s="41"/>
      <c r="P38" s="45"/>
    </row>
    <row r="39" spans="2:29" x14ac:dyDescent="0.35">
      <c r="C39" s="139"/>
      <c r="D39" s="120"/>
      <c r="E39" s="120"/>
      <c r="F39" s="41"/>
      <c r="G39" s="41"/>
      <c r="H39" s="41"/>
      <c r="I39" s="41"/>
      <c r="J39" s="41"/>
      <c r="K39" s="41"/>
      <c r="L39" s="140"/>
    </row>
    <row r="40" spans="2:29" x14ac:dyDescent="0.35">
      <c r="C40" s="139"/>
      <c r="D40" s="120"/>
      <c r="E40" s="120"/>
      <c r="F40" s="41"/>
      <c r="G40" s="41"/>
      <c r="H40" s="41"/>
      <c r="I40" s="41"/>
      <c r="J40" s="41"/>
      <c r="K40" s="41"/>
      <c r="L40" s="41"/>
    </row>
    <row r="41" spans="2:29" x14ac:dyDescent="0.35">
      <c r="C41" s="139"/>
      <c r="D41" s="120"/>
      <c r="E41" s="120"/>
      <c r="F41" s="41"/>
      <c r="G41" s="41"/>
      <c r="H41" s="41"/>
      <c r="I41" s="41"/>
      <c r="J41" s="41"/>
      <c r="K41" s="41"/>
      <c r="L41" s="141"/>
      <c r="N41" s="142"/>
    </row>
    <row r="42" spans="2:29" x14ac:dyDescent="0.35">
      <c r="C42" s="139"/>
      <c r="D42" s="120"/>
      <c r="E42" s="120"/>
      <c r="F42" s="41"/>
      <c r="G42" s="41"/>
      <c r="H42" s="41"/>
      <c r="I42" s="41"/>
      <c r="J42" s="41"/>
      <c r="K42" s="41"/>
      <c r="L42" s="41"/>
    </row>
    <row r="43" spans="2:29" x14ac:dyDescent="0.35">
      <c r="C43" s="139"/>
      <c r="D43" s="120"/>
      <c r="E43" s="120"/>
      <c r="F43" s="41"/>
      <c r="G43" s="41"/>
      <c r="H43" s="41"/>
      <c r="I43" s="41"/>
      <c r="J43" s="41"/>
      <c r="K43" s="41"/>
      <c r="L43" s="141"/>
    </row>
    <row r="45" spans="2:29" x14ac:dyDescent="0.35">
      <c r="L45" s="47"/>
    </row>
  </sheetData>
  <sheetProtection algorithmName="SHA-512" hashValue="hUCfUoX3TxMpCk8oYfiY8oFh2reLAJRZNACB7uwwXvinPuCnLWslgy1fOyasdFsb2B77Yd2D9nAPjypLTDh7cQ==" saltValue="9xlvYzWraAA260DjwY4gmg==" spinCount="100000" sheet="1" formatCells="0" formatColumns="0" formatRows="0" insertColumns="0" insertRows="0" insertHyperlinks="0" deleteColumns="0" deleteRows="0" sort="0" autoFilter="0" pivotTables="0"/>
  <dataConsolidate/>
  <mergeCells count="5">
    <mergeCell ref="U16:AC16"/>
    <mergeCell ref="N9:O9"/>
    <mergeCell ref="A16:G16"/>
    <mergeCell ref="L16:T16"/>
    <mergeCell ref="N12:P13"/>
  </mergeCells>
  <phoneticPr fontId="19" type="noConversion"/>
  <dataValidations count="8">
    <dataValidation type="whole" allowBlank="1" showInputMessage="1" showErrorMessage="1" sqref="B18:B32" xr:uid="{114C43CE-F9D1-4152-8305-25149377C33D}">
      <formula1>1</formula1>
      <formula2>123</formula2>
    </dataValidation>
    <dataValidation type="whole" allowBlank="1" showInputMessage="1" showErrorMessage="1" sqref="N18:N32" xr:uid="{B10453B0-DF4C-4815-93C1-2EC5070BB25F}">
      <formula1>1</formula1>
      <formula2>6</formula2>
    </dataValidation>
    <dataValidation type="whole" allowBlank="1" showInputMessage="1" showErrorMessage="1" sqref="O19:O32" xr:uid="{FEBA8739-1860-452C-A54F-CA76B20C499F}">
      <formula1>1</formula1>
      <formula2>99</formula2>
    </dataValidation>
    <dataValidation type="decimal" allowBlank="1" showInputMessage="1" showErrorMessage="1" sqref="P19 P21:P32 X19:X32" xr:uid="{273D9AAA-F569-4536-85A7-279A6ADDF1CD}">
      <formula1>1</formula1>
      <formula2>1E+22</formula2>
    </dataValidation>
    <dataValidation type="decimal" allowBlank="1" showInputMessage="1" showErrorMessage="1" sqref="C18:C32" xr:uid="{245B16DE-834A-420A-894E-AF417C780213}">
      <formula1>1E-29</formula1>
      <formula2>1E+21</formula2>
    </dataValidation>
    <dataValidation allowBlank="1" showInputMessage="1" showErrorMessage="1" errorTitle="Muncipio" error="Por favor elija una opción de la lista desplegable." sqref="C15" xr:uid="{140E48CF-3AD5-4252-BC44-BC121BCA71A2}"/>
    <dataValidation type="textLength" operator="equal" allowBlank="1" showInputMessage="1" showErrorMessage="1" sqref="C10" xr:uid="{EBFB3D08-8C84-4310-B24D-3DCF07B3E1E3}">
      <formula1>30</formula1>
    </dataValidation>
    <dataValidation allowBlank="1" showInputMessage="1" showErrorMessage="1" errorTitle="Error en el año de vigencia" error="La herramienta solo calcula avaluos para la vigencia 2022 o 2023. Para años anteriores usar la de los otros municipios. " promptTitle="Digite el año de vigencia" sqref="O10" xr:uid="{8E4BCFBD-A033-4A65-AA5A-1D6C7B94DBEF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1">
          <controlPr defaultSize="0" autoLine="0" r:id="rId5">
            <anchor moveWithCells="1">
              <from>
                <xdr:col>26</xdr:col>
                <xdr:colOff>190500</xdr:colOff>
                <xdr:row>8</xdr:row>
                <xdr:rowOff>107950</xdr:rowOff>
              </from>
              <to>
                <xdr:col>28</xdr:col>
                <xdr:colOff>495300</xdr:colOff>
                <xdr:row>10</xdr:row>
                <xdr:rowOff>165100</xdr:rowOff>
              </to>
            </anchor>
          </controlPr>
        </control>
      </mc:Choice>
      <mc:Fallback>
        <control shapeId="1046" r:id="rId4" name="CommandButton1"/>
      </mc:Fallback>
    </mc:AlternateContent>
    <mc:AlternateContent xmlns:mc="http://schemas.openxmlformats.org/markup-compatibility/2006">
      <mc:Choice Requires="x14">
        <control shapeId="1039" r:id="rId6" name="Spinner 15">
          <controlPr locked="0" defaultSize="0" autoPict="0" macro="[0]!Controldenúmero10_Cambiar">
            <anchor moveWithCells="1" sizeWithCells="1">
              <from>
                <xdr:col>15</xdr:col>
                <xdr:colOff>76200</xdr:colOff>
                <xdr:row>8</xdr:row>
                <xdr:rowOff>260350</xdr:rowOff>
              </from>
              <to>
                <xdr:col>15</xdr:col>
                <xdr:colOff>641350</xdr:colOff>
                <xdr:row>10</xdr:row>
                <xdr:rowOff>69850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B50CD8-A742-4270-B395-D791080679E5}">
          <x14:formula1>
            <xm:f>USOS_CONST!$A$2:$A$70</xm:f>
          </x14:formula1>
          <xm:sqref>L18:L32</xm:sqref>
        </x14:dataValidation>
        <x14:dataValidation type="list" allowBlank="1" showInputMessage="1" showErrorMessage="1" xr:uid="{B60F1428-DEFE-4AFC-8341-64F02FAF2525}">
          <x14:formula1>
            <xm:f>ZONA_TIPO!$A$14:$A$20</xm:f>
          </x14:formula1>
          <xm:sqref>V18:V32</xm:sqref>
        </x14:dataValidation>
        <x14:dataValidation type="list" allowBlank="1" showInputMessage="1" showErrorMessage="1" xr:uid="{26B19AA9-5036-4C26-8C2F-C40405A381F3}">
          <x14:formula1>
            <xm:f>USO_ANEX_1!$A$2:$A$18</xm:f>
          </x14:formula1>
          <xm:sqref>U18:U32</xm:sqref>
        </x14:dataValidation>
        <x14:dataValidation type="list" allowBlank="1" showInputMessage="1" showErrorMessage="1" xr:uid="{218FC34B-1471-420D-9E9B-5FE43018707B}">
          <x14:formula1>
            <xm:f>DESTINACIÓN!$A$1:$A$2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BF156-082D-4769-B5A1-962FE74F1474}">
  <sheetPr codeName="Hoja18">
    <tabColor rgb="FFAEEDF8"/>
  </sheetPr>
  <dimension ref="A1:B4"/>
  <sheetViews>
    <sheetView workbookViewId="0">
      <selection activeCell="G7" sqref="G7"/>
    </sheetView>
  </sheetViews>
  <sheetFormatPr baseColWidth="10" defaultRowHeight="14.5" x14ac:dyDescent="0.35"/>
  <sheetData>
    <row r="1" spans="1:2" x14ac:dyDescent="0.35">
      <c r="A1">
        <v>2022</v>
      </c>
      <c r="B1" t="s">
        <v>632</v>
      </c>
    </row>
    <row r="2" spans="1:2" x14ac:dyDescent="0.35">
      <c r="A2">
        <v>2023</v>
      </c>
      <c r="B2" t="s">
        <v>633</v>
      </c>
    </row>
    <row r="3" spans="1:2" x14ac:dyDescent="0.35">
      <c r="A3">
        <v>2024</v>
      </c>
      <c r="B3" t="s">
        <v>634</v>
      </c>
    </row>
    <row r="4" spans="1:2" x14ac:dyDescent="0.35">
      <c r="A4">
        <v>2025</v>
      </c>
      <c r="B4" t="s">
        <v>635</v>
      </c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F45DE-5EB0-4213-9E38-D7BB7240BF8B}">
  <sheetPr codeName="Hoja14">
    <tabColor rgb="FFAEEDF8"/>
  </sheetPr>
  <dimension ref="A1:E5"/>
  <sheetViews>
    <sheetView workbookViewId="0">
      <selection activeCell="D2" sqref="D2"/>
    </sheetView>
  </sheetViews>
  <sheetFormatPr baseColWidth="10" defaultRowHeight="14.5" x14ac:dyDescent="0.35"/>
  <cols>
    <col min="2" max="2" width="18.54296875" bestFit="1" customWidth="1"/>
    <col min="3" max="3" width="27.54296875" bestFit="1" customWidth="1"/>
    <col min="4" max="5" width="18.54296875" customWidth="1"/>
  </cols>
  <sheetData>
    <row r="1" spans="1:5" x14ac:dyDescent="0.35">
      <c r="A1" t="s">
        <v>107</v>
      </c>
      <c r="B1" t="s">
        <v>592</v>
      </c>
      <c r="C1" t="s">
        <v>593</v>
      </c>
      <c r="D1" s="97" t="s">
        <v>594</v>
      </c>
      <c r="E1" s="97" t="s">
        <v>595</v>
      </c>
    </row>
    <row r="2" spans="1:5" x14ac:dyDescent="0.35">
      <c r="A2" t="s">
        <v>2</v>
      </c>
      <c r="B2" t="s">
        <v>591</v>
      </c>
      <c r="C2" t="str">
        <f>A2&amp;"_"&amp;B2</f>
        <v>URBANO_NO AGROPECUARIO</v>
      </c>
      <c r="D2" s="95">
        <v>1.0430999999999999</v>
      </c>
      <c r="E2" s="95">
        <v>1.0450999999999999</v>
      </c>
    </row>
    <row r="3" spans="1:5" x14ac:dyDescent="0.35">
      <c r="A3" t="s">
        <v>2</v>
      </c>
      <c r="B3" t="s">
        <v>590</v>
      </c>
      <c r="C3" t="str">
        <f t="shared" ref="C3:C5" si="0">A3&amp;"_"&amp;B3</f>
        <v>URBANO_AGROPECUARIO</v>
      </c>
      <c r="D3" s="95">
        <v>1.0430999999999999</v>
      </c>
      <c r="E3" s="95">
        <v>1.0450999999999999</v>
      </c>
    </row>
    <row r="4" spans="1:5" x14ac:dyDescent="0.35">
      <c r="A4" t="s">
        <v>4</v>
      </c>
      <c r="B4" t="s">
        <v>591</v>
      </c>
      <c r="C4" t="str">
        <f t="shared" si="0"/>
        <v>RURAL_NO AGROPECUARIO</v>
      </c>
      <c r="D4" s="95">
        <v>1.03</v>
      </c>
      <c r="E4" s="95">
        <v>1.0450999999999999</v>
      </c>
    </row>
    <row r="5" spans="1:5" x14ac:dyDescent="0.35">
      <c r="A5" t="s">
        <v>4</v>
      </c>
      <c r="B5" t="s">
        <v>590</v>
      </c>
      <c r="C5" t="str">
        <f t="shared" si="0"/>
        <v>RURAL_AGROPECUARIO</v>
      </c>
      <c r="D5" s="95">
        <v>1.03</v>
      </c>
      <c r="E5" s="95">
        <v>1.0255000000000001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DBD6A-5F2F-4619-9A14-DBF525619E37}">
  <sheetPr codeName="Hoja15">
    <tabColor rgb="FFAEEDF8"/>
  </sheetPr>
  <dimension ref="A1:A2"/>
  <sheetViews>
    <sheetView workbookViewId="0">
      <selection activeCell="D23" sqref="D23"/>
    </sheetView>
  </sheetViews>
  <sheetFormatPr baseColWidth="10" defaultRowHeight="14.5" x14ac:dyDescent="0.35"/>
  <cols>
    <col min="1" max="1" width="18.54296875" bestFit="1" customWidth="1"/>
  </cols>
  <sheetData>
    <row r="1" spans="1:1" x14ac:dyDescent="0.35">
      <c r="A1" t="s">
        <v>590</v>
      </c>
    </row>
    <row r="2" spans="1:1" x14ac:dyDescent="0.35">
      <c r="A2" t="s">
        <v>591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13C3-214E-4260-9D8C-E88C79467887}">
  <sheetPr codeName="Hoja11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BC18-CF30-4CF5-A7AD-D3E3768C1D94}">
  <sheetPr codeName="Hoja4">
    <tabColor rgb="FFAEEDF8"/>
  </sheetPr>
  <dimension ref="A1:BR276"/>
  <sheetViews>
    <sheetView zoomScale="70" zoomScaleNormal="70" workbookViewId="0">
      <selection activeCell="L9" sqref="L9"/>
    </sheetView>
  </sheetViews>
  <sheetFormatPr baseColWidth="10" defaultColWidth="10.81640625" defaultRowHeight="14.5" x14ac:dyDescent="0.35"/>
  <cols>
    <col min="1" max="1" width="3.1796875" style="37" customWidth="1"/>
    <col min="2" max="2" width="23.453125" style="138" customWidth="1"/>
    <col min="3" max="3" width="15.54296875" style="138" hidden="1" customWidth="1"/>
    <col min="4" max="4" width="54.7265625" style="138" customWidth="1"/>
    <col min="5" max="5" width="23.26953125" style="38" customWidth="1"/>
    <col min="6" max="6" width="23.26953125" style="38" hidden="1" customWidth="1"/>
    <col min="7" max="7" width="25.7265625" style="37" hidden="1" customWidth="1"/>
    <col min="8" max="8" width="23.453125" style="37" hidden="1" customWidth="1"/>
    <col min="9" max="9" width="20.26953125" style="37" hidden="1" customWidth="1"/>
    <col min="10" max="11" width="17.1796875" style="37" hidden="1" customWidth="1"/>
    <col min="12" max="12" width="33.81640625" style="37" customWidth="1"/>
    <col min="13" max="13" width="37.7265625" style="37" customWidth="1"/>
    <col min="14" max="14" width="23.54296875" style="37" hidden="1" customWidth="1"/>
    <col min="15" max="16" width="25.81640625" style="37" hidden="1" customWidth="1"/>
    <col min="17" max="17" width="33.453125" style="37" customWidth="1"/>
    <col min="18" max="18" width="32.453125" style="37" customWidth="1"/>
    <col min="19" max="19" width="40.1796875" style="37" hidden="1" customWidth="1"/>
    <col min="20" max="20" width="42" style="37" hidden="1" customWidth="1"/>
    <col min="21" max="21" width="10.7265625" style="37" hidden="1" customWidth="1"/>
    <col min="22" max="22" width="36.7265625" style="37" hidden="1" customWidth="1"/>
    <col min="23" max="23" width="19.1796875" style="37" hidden="1" customWidth="1"/>
    <col min="24" max="24" width="24.54296875" style="37" hidden="1" customWidth="1"/>
    <col min="25" max="25" width="7" style="37" hidden="1" customWidth="1"/>
    <col min="26" max="26" width="10.81640625" style="37" hidden="1" customWidth="1"/>
    <col min="27" max="70" width="10.81640625" style="37"/>
    <col min="71" max="16384" width="10.81640625" style="38"/>
  </cols>
  <sheetData>
    <row r="1" spans="2:26" s="37" customFormat="1" x14ac:dyDescent="0.35">
      <c r="B1" s="100"/>
      <c r="C1" s="100"/>
      <c r="D1" s="100"/>
    </row>
    <row r="2" spans="2:26" s="37" customFormat="1" x14ac:dyDescent="0.35">
      <c r="B2" s="100"/>
      <c r="C2" s="100"/>
      <c r="D2" s="100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58"/>
      <c r="S2" s="158"/>
      <c r="T2" s="103"/>
      <c r="U2" s="103"/>
      <c r="V2" s="103"/>
      <c r="W2" s="103"/>
      <c r="X2" s="103"/>
      <c r="Y2" s="103"/>
      <c r="Z2" s="103"/>
    </row>
    <row r="3" spans="2:26" x14ac:dyDescent="0.35">
      <c r="B3" s="100"/>
      <c r="C3" s="100"/>
      <c r="D3" s="100"/>
      <c r="E3" s="37"/>
      <c r="F3" s="37"/>
    </row>
    <row r="4" spans="2:26" x14ac:dyDescent="0.35">
      <c r="B4" s="100"/>
      <c r="C4" s="100"/>
      <c r="D4" s="100"/>
      <c r="E4" s="37"/>
      <c r="F4" s="37"/>
    </row>
    <row r="5" spans="2:26" x14ac:dyDescent="0.35">
      <c r="B5" s="100"/>
      <c r="C5" s="100"/>
      <c r="D5" s="100"/>
      <c r="E5" s="37"/>
      <c r="F5" s="37"/>
    </row>
    <row r="6" spans="2:26" s="37" customFormat="1" x14ac:dyDescent="0.35">
      <c r="B6" s="100"/>
      <c r="C6" s="100"/>
      <c r="D6" s="100"/>
    </row>
    <row r="7" spans="2:26" s="37" customFormat="1" x14ac:dyDescent="0.35">
      <c r="B7" s="39" t="s">
        <v>560</v>
      </c>
      <c r="C7" s="40"/>
      <c r="D7" s="40"/>
      <c r="E7" s="107"/>
      <c r="F7" s="107"/>
      <c r="G7" s="40" t="s">
        <v>563</v>
      </c>
      <c r="H7" s="40"/>
      <c r="I7" s="40"/>
      <c r="J7" s="40"/>
      <c r="K7" s="40"/>
      <c r="L7" s="40"/>
      <c r="M7" s="106"/>
      <c r="N7" s="106"/>
      <c r="O7" s="106"/>
      <c r="P7" s="106"/>
      <c r="Q7" s="106"/>
      <c r="R7" s="108"/>
      <c r="S7" s="108"/>
    </row>
    <row r="8" spans="2:26" s="37" customFormat="1" x14ac:dyDescent="0.35">
      <c r="B8" s="159"/>
      <c r="C8" s="100"/>
      <c r="D8" s="100"/>
      <c r="L8" s="38"/>
      <c r="R8" s="111"/>
      <c r="S8" s="111"/>
    </row>
    <row r="9" spans="2:26" s="37" customFormat="1" ht="21.75" customHeight="1" x14ac:dyDescent="0.35">
      <c r="B9" s="58" t="s">
        <v>177</v>
      </c>
      <c r="D9" s="60"/>
      <c r="L9" s="156"/>
      <c r="R9" s="111"/>
      <c r="S9" s="111"/>
    </row>
    <row r="10" spans="2:26" s="37" customFormat="1" ht="21" customHeight="1" x14ac:dyDescent="0.5">
      <c r="B10" s="58" t="s">
        <v>629</v>
      </c>
      <c r="D10" s="28"/>
      <c r="L10" s="156"/>
      <c r="Q10" s="207" t="s">
        <v>587</v>
      </c>
      <c r="R10" s="208"/>
      <c r="S10" s="160"/>
      <c r="U10" s="37">
        <v>2022</v>
      </c>
    </row>
    <row r="11" spans="2:26" s="37" customFormat="1" ht="17.5" customHeight="1" x14ac:dyDescent="0.35">
      <c r="B11" s="59" t="s">
        <v>107</v>
      </c>
      <c r="D11" s="30" t="str">
        <f>IF(D9="","",IF(E11="00","RURAL","URBANO"))</f>
        <v/>
      </c>
      <c r="E11" s="161" t="str">
        <f>MID(D9,6,2)</f>
        <v/>
      </c>
      <c r="F11" s="161"/>
      <c r="G11" s="162"/>
      <c r="H11" s="162"/>
      <c r="I11" s="162"/>
      <c r="J11" s="162"/>
      <c r="K11" s="162"/>
      <c r="L11" s="162"/>
      <c r="Q11" s="57" t="s">
        <v>578</v>
      </c>
      <c r="R11" s="155">
        <v>2025</v>
      </c>
      <c r="S11" s="160"/>
    </row>
    <row r="12" spans="2:26" s="37" customFormat="1" ht="17.5" customHeight="1" x14ac:dyDescent="0.35">
      <c r="B12" s="59" t="s">
        <v>108</v>
      </c>
      <c r="D12" s="30" t="str">
        <f>IF(D9="","",IF(OR(E12="0",E12="5",E12="4"),"NPH","PH"))</f>
        <v/>
      </c>
      <c r="E12" s="161" t="str">
        <f>MID(D9,22,1)</f>
        <v/>
      </c>
      <c r="F12" s="161"/>
      <c r="G12" s="162" t="str">
        <f>D11&amp;"_"&amp;D13</f>
        <v>_</v>
      </c>
      <c r="H12" s="162"/>
      <c r="I12" s="162"/>
      <c r="J12" s="162"/>
      <c r="K12" s="162"/>
      <c r="L12" s="213" t="str">
        <f>IF(D9="","",VLOOKUP(R11,DECRETOS!$A$1:$B$4,2,FALSE))</f>
        <v/>
      </c>
      <c r="R12" s="111"/>
      <c r="S12" s="111"/>
    </row>
    <row r="13" spans="2:26" s="37" customFormat="1" ht="17.5" customHeight="1" x14ac:dyDescent="0.35">
      <c r="B13" s="144" t="s">
        <v>589</v>
      </c>
      <c r="D13" s="187"/>
      <c r="E13" s="161"/>
      <c r="F13" s="161"/>
      <c r="G13" s="162"/>
      <c r="H13" s="162"/>
      <c r="I13" s="162"/>
      <c r="J13" s="162"/>
      <c r="K13" s="162"/>
      <c r="L13" s="162"/>
      <c r="R13" s="111"/>
      <c r="S13" s="111"/>
    </row>
    <row r="14" spans="2:26" s="37" customFormat="1" ht="17.5" customHeight="1" x14ac:dyDescent="0.35">
      <c r="B14" s="163"/>
      <c r="C14" s="164"/>
      <c r="D14" s="164"/>
      <c r="E14" s="165"/>
      <c r="F14" s="165"/>
      <c r="G14" s="166"/>
      <c r="H14" s="166"/>
      <c r="I14" s="166"/>
      <c r="J14" s="166"/>
      <c r="K14" s="166"/>
      <c r="L14" s="166"/>
      <c r="M14" s="167"/>
      <c r="N14" s="167"/>
      <c r="O14" s="167"/>
      <c r="P14" s="167"/>
      <c r="Q14" s="167"/>
      <c r="R14" s="168"/>
      <c r="S14" s="168"/>
    </row>
    <row r="15" spans="2:26" s="37" customFormat="1" ht="17.5" hidden="1" customHeight="1" x14ac:dyDescent="0.4">
      <c r="B15" s="169" t="s">
        <v>575</v>
      </c>
      <c r="C15" s="38"/>
      <c r="D15" s="170" t="s">
        <v>574</v>
      </c>
      <c r="E15" s="171" t="s">
        <v>562</v>
      </c>
      <c r="F15" s="172"/>
      <c r="G15" s="162"/>
      <c r="H15" s="162"/>
      <c r="I15" s="162"/>
      <c r="J15" s="162"/>
      <c r="K15" s="162"/>
      <c r="L15" s="162"/>
      <c r="M15" s="111"/>
      <c r="R15" s="111"/>
    </row>
    <row r="16" spans="2:26" s="37" customFormat="1" ht="17.5" hidden="1" customHeight="1" x14ac:dyDescent="0.35">
      <c r="B16" s="173" t="s">
        <v>4</v>
      </c>
      <c r="C16" s="174"/>
      <c r="D16" s="175"/>
      <c r="E16" s="176" t="str">
        <f>IF(D16="","",D16/10000)</f>
        <v/>
      </c>
      <c r="F16" s="177"/>
      <c r="G16" s="166"/>
      <c r="H16" s="166"/>
      <c r="I16" s="166"/>
      <c r="J16" s="166"/>
      <c r="K16" s="166"/>
      <c r="L16" s="166"/>
      <c r="M16" s="168"/>
      <c r="R16" s="111"/>
    </row>
    <row r="17" spans="2:25" s="37" customFormat="1" x14ac:dyDescent="0.35">
      <c r="B17" s="109"/>
      <c r="C17" s="100"/>
      <c r="D17" s="100"/>
      <c r="R17" s="111"/>
    </row>
    <row r="18" spans="2:25" s="37" customFormat="1" x14ac:dyDescent="0.35">
      <c r="B18" s="202" t="s">
        <v>11</v>
      </c>
      <c r="C18" s="202"/>
      <c r="D18" s="202"/>
      <c r="E18" s="202"/>
      <c r="F18" s="202"/>
      <c r="G18" s="202"/>
      <c r="H18" s="178"/>
      <c r="I18" s="178"/>
      <c r="J18" s="178"/>
      <c r="K18" s="178"/>
      <c r="L18" s="178"/>
      <c r="M18" s="204" t="s">
        <v>576</v>
      </c>
      <c r="N18" s="205"/>
      <c r="O18" s="205"/>
      <c r="P18" s="205"/>
      <c r="Q18" s="205"/>
      <c r="R18" s="206"/>
      <c r="S18" s="179"/>
      <c r="T18" s="203" t="s">
        <v>101</v>
      </c>
      <c r="U18" s="203"/>
      <c r="V18" s="203"/>
      <c r="W18" s="203"/>
      <c r="X18" s="203"/>
      <c r="Y18" s="203"/>
    </row>
    <row r="19" spans="2:25" s="110" customFormat="1" ht="37.5" customHeight="1" x14ac:dyDescent="0.35">
      <c r="B19" s="50" t="s">
        <v>99</v>
      </c>
      <c r="C19" s="50" t="s">
        <v>9</v>
      </c>
      <c r="D19" s="50" t="s">
        <v>572</v>
      </c>
      <c r="E19" s="56" t="str">
        <f>"VALOR M2 TERRENO "&amp;R11</f>
        <v>VALOR M2 TERRENO 2025</v>
      </c>
      <c r="F19" s="146" t="s">
        <v>598</v>
      </c>
      <c r="G19" s="146" t="s">
        <v>582</v>
      </c>
      <c r="H19" s="146" t="s">
        <v>583</v>
      </c>
      <c r="I19" s="146" t="s">
        <v>594</v>
      </c>
      <c r="J19" s="146" t="s">
        <v>595</v>
      </c>
      <c r="K19" s="146" t="s">
        <v>631</v>
      </c>
      <c r="L19" s="56" t="str">
        <f>"AVALÚO TERRENO "&amp;R11</f>
        <v>AVALÚO TERRENO 2025</v>
      </c>
      <c r="M19" s="48" t="s">
        <v>100</v>
      </c>
      <c r="N19" s="146" t="s">
        <v>599</v>
      </c>
      <c r="O19" s="146" t="s">
        <v>600</v>
      </c>
      <c r="P19" s="146" t="s">
        <v>601</v>
      </c>
      <c r="Q19" s="49" t="str">
        <f>"VALOR M2 CONSTRUCCIÓN "&amp;R11</f>
        <v>VALOR M2 CONSTRUCCIÓN 2025</v>
      </c>
      <c r="R19" s="49" t="str">
        <f>"AVALÚO CONSTRUCCIÓN "&amp;R11</f>
        <v>AVALÚO CONSTRUCCIÓN 2025</v>
      </c>
      <c r="S19" s="212" t="str">
        <f>"AVALÚO CONSTRUCCIÓN "&amp;R11</f>
        <v>AVALÚO CONSTRUCCIÓN 2025</v>
      </c>
      <c r="T19" s="180" t="s">
        <v>12</v>
      </c>
      <c r="U19" s="180" t="s">
        <v>102</v>
      </c>
      <c r="V19" s="180" t="s">
        <v>112</v>
      </c>
      <c r="W19" s="180" t="s">
        <v>100</v>
      </c>
      <c r="X19" s="181" t="s">
        <v>13</v>
      </c>
      <c r="Y19" s="181" t="s">
        <v>10</v>
      </c>
    </row>
    <row r="20" spans="2:25" s="37" customFormat="1" x14ac:dyDescent="0.35">
      <c r="B20" s="11"/>
      <c r="C20" s="24"/>
      <c r="D20" s="211"/>
      <c r="E20" s="31" t="str">
        <f>IF(B20="","",IF($R$11=2022,F20,IF($R$11=2023,F20*I20,IF($R$11=2024,F20*I20*J20,IF($R$11=2025,F20*I20*J20*K20)))))</f>
        <v/>
      </c>
      <c r="F20" s="31" t="e">
        <f>VLOOKUP(B20,ZHG!$C$2:$D$124,2,FALSE)</f>
        <v>#N/A</v>
      </c>
      <c r="G20" s="33" t="e">
        <f>F20*D20</f>
        <v>#N/A</v>
      </c>
      <c r="H20" s="33" t="e">
        <f>G20*I20</f>
        <v>#N/A</v>
      </c>
      <c r="I20" s="148" t="e">
        <f>VLOOKUP($G$12,INCREMENTO!$C$2:$D$5,2,FALSE)</f>
        <v>#N/A</v>
      </c>
      <c r="J20" s="32" t="e">
        <f>VLOOKUP($G$12,INCREMENTO!$C$2:$E$5,3,FALSE)</f>
        <v>#N/A</v>
      </c>
      <c r="K20" s="32">
        <v>1.03</v>
      </c>
      <c r="L20" s="33" t="str">
        <f>IF(E20="","",MROUND(E20*D20,1000))</f>
        <v/>
      </c>
      <c r="M20" s="12"/>
      <c r="N20" s="183" t="e">
        <f>VLOOKUP($D$10,AVALUOS_ESPECIALES!$A$2:$E$191,5,FALSE)</f>
        <v>#N/A</v>
      </c>
      <c r="O20" s="183" t="e">
        <f>N20*M20</f>
        <v>#N/A</v>
      </c>
      <c r="P20" s="184" t="e">
        <f>O20*I20</f>
        <v>#N/A</v>
      </c>
      <c r="Q20" s="34" t="str">
        <f>IF(M20="","",IF($R$11=2022,N20,IF($R$11=2023,N20*I20,IF($R$11=2024,N20*I20*J20,IF($R$11=2025,N20*I20*J20*K20)))))</f>
        <v/>
      </c>
      <c r="R20" s="34" t="str">
        <f>IF(Q20="","",MROUND(Q20*M20,1000))</f>
        <v/>
      </c>
      <c r="S20" s="154" t="str">
        <f>+IFERROR(IF($D$11="RURAL",MROUND(R20*1.03,1),IF($D$11="URBANO",MROUND(1.0431*R20,1),"")),"")</f>
        <v/>
      </c>
      <c r="T20" s="185" t="s">
        <v>15</v>
      </c>
      <c r="U20" s="182">
        <v>20</v>
      </c>
      <c r="V20" s="185" t="str">
        <f>T20&amp;U20</f>
        <v>02-Anexo.Ramadas_Cobertizos_Caneyes20</v>
      </c>
      <c r="W20" s="185">
        <v>10</v>
      </c>
      <c r="X20" s="186" t="e">
        <f>IF(OR(T20="",U20=""),"",VLOOKUP(V20,USO_ANE!$C$2:$E$61,3,FALSE))</f>
        <v>#N/A</v>
      </c>
      <c r="Y20" s="186" t="e">
        <f>IF(X20="","",W20*X20)</f>
        <v>#N/A</v>
      </c>
    </row>
    <row r="21" spans="2:25" s="37" customFormat="1" x14ac:dyDescent="0.35">
      <c r="B21" s="11"/>
      <c r="C21" s="24"/>
      <c r="D21" s="25"/>
      <c r="E21" s="31" t="str">
        <f>IF(B21="","",IF($R$11=2022,F21,IF($R$11=2023,F21*I21,IF($R$11=2024,F21*I21*J21,IF($R$11=2025,F21*I21*J21*K21)))))</f>
        <v/>
      </c>
      <c r="F21" s="31" t="e">
        <f>VLOOKUP(B21,ZHG!$C$2:$D$124,2,FALSE)</f>
        <v>#N/A</v>
      </c>
      <c r="G21" s="33" t="e">
        <f t="shared" ref="G21:G26" si="0">F21*D21</f>
        <v>#N/A</v>
      </c>
      <c r="H21" s="33" t="e">
        <f t="shared" ref="H21:H26" si="1">G21*I21</f>
        <v>#N/A</v>
      </c>
      <c r="I21" s="148" t="e">
        <f>VLOOKUP($G$12,INCREMENTO!$C$2:$D$5,2,FALSE)</f>
        <v>#N/A</v>
      </c>
      <c r="J21" s="32" t="e">
        <f>VLOOKUP($G$12,INCREMENTO!$C$2:$E$5,3,FALSE)</f>
        <v>#N/A</v>
      </c>
      <c r="K21" s="32">
        <v>1.03</v>
      </c>
      <c r="L21" s="33" t="str">
        <f>IF(E21="","",MROUND(E21*D21,1000))</f>
        <v/>
      </c>
      <c r="M21" s="12"/>
      <c r="N21" s="183" t="e">
        <f>VLOOKUP($D$10,AVALUOS_ESPECIALES!$A$2:$E$191,5,FALSE)</f>
        <v>#N/A</v>
      </c>
      <c r="O21" s="183" t="e">
        <f t="shared" ref="O21:O26" si="2">N21*M21</f>
        <v>#N/A</v>
      </c>
      <c r="P21" s="184" t="e">
        <f>O21*I21</f>
        <v>#N/A</v>
      </c>
      <c r="Q21" s="34" t="str">
        <f t="shared" ref="Q21:Q26" si="3">IF(M21="","",IF($R$11=2022,N21,IF($R$11=2023,N21*I21,IF($R$11=2024,N21*I21*J21,IF($R$11=2025,N21*I21*J21*K21)))))</f>
        <v/>
      </c>
      <c r="R21" s="34" t="str">
        <f t="shared" ref="R21:R26" si="4">IF(Q21="","",MROUND(Q21*M21,1000))</f>
        <v/>
      </c>
      <c r="S21" s="154" t="str">
        <f t="shared" ref="S21:S25" si="5">+IFERROR(IF($D$11="RURAL",MROUND(R21*1.03,1),IF($D$11="URBANO",MROUND(1.0431*R21,1),"")),"")</f>
        <v/>
      </c>
      <c r="T21" s="185"/>
      <c r="U21" s="182"/>
      <c r="V21" s="185"/>
      <c r="W21" s="185"/>
      <c r="X21" s="186" t="str">
        <f>IF(OR(T21="",U21=""),"",VLOOKUP(V21,USO_ANE!$C$2:$E$61,3,FALSE))</f>
        <v/>
      </c>
      <c r="Y21" s="186" t="str">
        <f t="shared" ref="Y21:Y26" si="6">IF(X21="","",W21*X21)</f>
        <v/>
      </c>
    </row>
    <row r="22" spans="2:25" s="37" customFormat="1" x14ac:dyDescent="0.35">
      <c r="B22" s="11"/>
      <c r="C22" s="24"/>
      <c r="D22" s="25"/>
      <c r="E22" s="31" t="str">
        <f>IF(B22="","",IF($R$11=2022,F22,IF($R$11=2023,F22*I22,IF($R$11=2024,F22*I22*J22,IF($R$11=2025,F22*I22*J22*K22)))))</f>
        <v/>
      </c>
      <c r="F22" s="31" t="e">
        <f>VLOOKUP(B22,ZHG!$C$2:$D$124,2,FALSE)</f>
        <v>#N/A</v>
      </c>
      <c r="G22" s="33" t="e">
        <f t="shared" si="0"/>
        <v>#N/A</v>
      </c>
      <c r="H22" s="33" t="e">
        <f t="shared" si="1"/>
        <v>#N/A</v>
      </c>
      <c r="I22" s="148" t="e">
        <f>VLOOKUP($G$12,INCREMENTO!$C$2:$D$5,2,FALSE)</f>
        <v>#N/A</v>
      </c>
      <c r="J22" s="32" t="e">
        <f>VLOOKUP($G$12,INCREMENTO!$C$2:$E$5,3,FALSE)</f>
        <v>#N/A</v>
      </c>
      <c r="K22" s="32">
        <v>1.03</v>
      </c>
      <c r="L22" s="33" t="str">
        <f>IF(E22="","",MROUND(E22*D22,1000))</f>
        <v/>
      </c>
      <c r="M22" s="12"/>
      <c r="N22" s="183" t="e">
        <f>VLOOKUP($D$10,AVALUOS_ESPECIALES!$A$2:$E$191,5,FALSE)</f>
        <v>#N/A</v>
      </c>
      <c r="O22" s="183" t="e">
        <f t="shared" si="2"/>
        <v>#N/A</v>
      </c>
      <c r="P22" s="184" t="e">
        <f>O22*I22</f>
        <v>#N/A</v>
      </c>
      <c r="Q22" s="34" t="str">
        <f t="shared" si="3"/>
        <v/>
      </c>
      <c r="R22" s="34" t="str">
        <f t="shared" si="4"/>
        <v/>
      </c>
      <c r="S22" s="154" t="str">
        <f t="shared" si="5"/>
        <v/>
      </c>
      <c r="T22" s="185"/>
      <c r="U22" s="182"/>
      <c r="V22" s="185"/>
      <c r="W22" s="185"/>
      <c r="X22" s="186" t="str">
        <f>IF(OR(T22="",U22=""),"",VLOOKUP(V22,USO_ANE!$C$2:$E$61,3,FALSE))</f>
        <v/>
      </c>
      <c r="Y22" s="186" t="str">
        <f t="shared" si="6"/>
        <v/>
      </c>
    </row>
    <row r="23" spans="2:25" s="37" customFormat="1" x14ac:dyDescent="0.35">
      <c r="B23" s="11"/>
      <c r="C23" s="24"/>
      <c r="D23" s="26"/>
      <c r="E23" s="31" t="str">
        <f>IF(B23="","",IF($R$11=2022,F23,IF($R$11=2023,F23*I23,IF($R$11=2024,F23*I23*J23,IF($R$11=2025,F23*I23*J23*K23)))))</f>
        <v/>
      </c>
      <c r="F23" s="31" t="e">
        <f>VLOOKUP(B23,ZHG!$C$2:$D$124,2,FALSE)</f>
        <v>#N/A</v>
      </c>
      <c r="G23" s="33" t="e">
        <f t="shared" si="0"/>
        <v>#N/A</v>
      </c>
      <c r="H23" s="33" t="e">
        <f t="shared" si="1"/>
        <v>#N/A</v>
      </c>
      <c r="I23" s="148" t="e">
        <f>VLOOKUP($G$12,INCREMENTO!$C$2:$D$5,2,FALSE)</f>
        <v>#N/A</v>
      </c>
      <c r="J23" s="32" t="e">
        <f>VLOOKUP($G$12,INCREMENTO!$C$2:$E$5,3,FALSE)</f>
        <v>#N/A</v>
      </c>
      <c r="K23" s="32">
        <v>1.03</v>
      </c>
      <c r="L23" s="33" t="str">
        <f>IF(E23="","",MROUND(E23*D23,1000))</f>
        <v/>
      </c>
      <c r="M23" s="12"/>
      <c r="N23" s="183" t="e">
        <f>VLOOKUP($D$10,AVALUOS_ESPECIALES!$A$2:$E$191,5,FALSE)</f>
        <v>#N/A</v>
      </c>
      <c r="O23" s="183" t="e">
        <f t="shared" si="2"/>
        <v>#N/A</v>
      </c>
      <c r="P23" s="184" t="e">
        <f>O23*I23</f>
        <v>#N/A</v>
      </c>
      <c r="Q23" s="34" t="str">
        <f t="shared" si="3"/>
        <v/>
      </c>
      <c r="R23" s="34" t="str">
        <f t="shared" si="4"/>
        <v/>
      </c>
      <c r="S23" s="154" t="str">
        <f t="shared" si="5"/>
        <v/>
      </c>
      <c r="T23" s="185"/>
      <c r="U23" s="182"/>
      <c r="V23" s="185"/>
      <c r="W23" s="185"/>
      <c r="X23" s="186" t="str">
        <f>IF(OR(T23="",U23=""),"",VLOOKUP(V23,USO_ANE!$C$2:$E$61,3,FALSE))</f>
        <v/>
      </c>
      <c r="Y23" s="186" t="str">
        <f t="shared" si="6"/>
        <v/>
      </c>
    </row>
    <row r="24" spans="2:25" s="37" customFormat="1" x14ac:dyDescent="0.35">
      <c r="B24" s="11"/>
      <c r="C24" s="24"/>
      <c r="D24" s="27"/>
      <c r="E24" s="31" t="str">
        <f>IF(B24="","",IF($R$11=2022,F24,IF($R$11=2023,F24*I24,IF($R$11=2024,F24*I24*J24,IF($R$11=2025,F24*I24*J24*K24)))))</f>
        <v/>
      </c>
      <c r="F24" s="31" t="e">
        <f>VLOOKUP(B24,ZHG!$C$2:$D$124,2,FALSE)</f>
        <v>#N/A</v>
      </c>
      <c r="G24" s="33" t="e">
        <f t="shared" si="0"/>
        <v>#N/A</v>
      </c>
      <c r="H24" s="33" t="e">
        <f t="shared" si="1"/>
        <v>#N/A</v>
      </c>
      <c r="I24" s="148" t="e">
        <f>VLOOKUP($G$12,INCREMENTO!$C$2:$D$5,2,FALSE)</f>
        <v>#N/A</v>
      </c>
      <c r="J24" s="32" t="e">
        <f>VLOOKUP($G$12,INCREMENTO!$C$2:$E$5,3,FALSE)</f>
        <v>#N/A</v>
      </c>
      <c r="K24" s="32">
        <v>1.03</v>
      </c>
      <c r="L24" s="33" t="str">
        <f>IF(E24="","",MROUND(E24*D24,1000))</f>
        <v/>
      </c>
      <c r="M24" s="12"/>
      <c r="N24" s="183" t="e">
        <f>VLOOKUP($D$10,AVALUOS_ESPECIALES!$A$2:$E$191,5,FALSE)</f>
        <v>#N/A</v>
      </c>
      <c r="O24" s="183" t="e">
        <f t="shared" si="2"/>
        <v>#N/A</v>
      </c>
      <c r="P24" s="184" t="e">
        <f>O24*I24</f>
        <v>#N/A</v>
      </c>
      <c r="Q24" s="34" t="str">
        <f t="shared" si="3"/>
        <v/>
      </c>
      <c r="R24" s="34" t="str">
        <f t="shared" si="4"/>
        <v/>
      </c>
      <c r="S24" s="154" t="str">
        <f t="shared" si="5"/>
        <v/>
      </c>
      <c r="T24" s="185"/>
      <c r="U24" s="182"/>
      <c r="V24" s="185"/>
      <c r="W24" s="185"/>
      <c r="X24" s="186" t="str">
        <f>IF(OR(T24="",U24=""),"",VLOOKUP(V24,USO_ANE!$C$2:$E$61,3,FALSE))</f>
        <v/>
      </c>
      <c r="Y24" s="186" t="str">
        <f t="shared" si="6"/>
        <v/>
      </c>
    </row>
    <row r="25" spans="2:25" s="37" customFormat="1" x14ac:dyDescent="0.35">
      <c r="B25" s="11"/>
      <c r="C25" s="24"/>
      <c r="D25" s="27"/>
      <c r="E25" s="31" t="str">
        <f>IF(B25="","",IF($R$11=2022,F25,IF($R$11=2023,F25*I25,IF($R$11=2024,F25*I25*J25,IF($R$11=2025,F25*I25*J25*K25)))))</f>
        <v/>
      </c>
      <c r="F25" s="31" t="e">
        <f>VLOOKUP(B25,ZHG!$C$2:$D$124,2,FALSE)</f>
        <v>#N/A</v>
      </c>
      <c r="G25" s="33" t="e">
        <f t="shared" si="0"/>
        <v>#N/A</v>
      </c>
      <c r="H25" s="33" t="e">
        <f t="shared" si="1"/>
        <v>#N/A</v>
      </c>
      <c r="I25" s="148" t="e">
        <f>VLOOKUP($G$12,INCREMENTO!$C$2:$D$5,2,FALSE)</f>
        <v>#N/A</v>
      </c>
      <c r="J25" s="32" t="e">
        <f>VLOOKUP($G$12,INCREMENTO!$C$2:$E$5,3,FALSE)</f>
        <v>#N/A</v>
      </c>
      <c r="K25" s="32">
        <v>1.03</v>
      </c>
      <c r="L25" s="33" t="str">
        <f>IF(E25="","",MROUND(E25*D25,1000))</f>
        <v/>
      </c>
      <c r="M25" s="12"/>
      <c r="N25" s="183" t="e">
        <f>VLOOKUP($D$10,AVALUOS_ESPECIALES!$A$2:$E$191,5,FALSE)</f>
        <v>#N/A</v>
      </c>
      <c r="O25" s="183" t="e">
        <f t="shared" si="2"/>
        <v>#N/A</v>
      </c>
      <c r="P25" s="184" t="e">
        <f>O25*I25</f>
        <v>#N/A</v>
      </c>
      <c r="Q25" s="34" t="str">
        <f t="shared" si="3"/>
        <v/>
      </c>
      <c r="R25" s="34" t="str">
        <f t="shared" si="4"/>
        <v/>
      </c>
      <c r="S25" s="154" t="str">
        <f t="shared" si="5"/>
        <v/>
      </c>
      <c r="T25" s="185"/>
      <c r="U25" s="182"/>
      <c r="V25" s="185"/>
      <c r="W25" s="185"/>
      <c r="X25" s="186" t="str">
        <f>IF(OR(T25="",U25=""),"",VLOOKUP(V25,USO_ANE!$C$2:$E$61,3,FALSE))</f>
        <v/>
      </c>
      <c r="Y25" s="186" t="str">
        <f t="shared" si="6"/>
        <v/>
      </c>
    </row>
    <row r="26" spans="2:25" s="37" customFormat="1" x14ac:dyDescent="0.35">
      <c r="B26" s="11"/>
      <c r="C26" s="24"/>
      <c r="D26" s="27"/>
      <c r="E26" s="31" t="str">
        <f>IF(B26="","",IF($R$11=2022,F26,IF($R$11=2023,F26*I26,IF($R$11=2024,F26*I26*J26,IF($R$11=2025,F26*I26*J26*K26)))))</f>
        <v/>
      </c>
      <c r="F26" s="31" t="e">
        <f>VLOOKUP(B26,ZHG!$C$2:$D$124,2,FALSE)</f>
        <v>#N/A</v>
      </c>
      <c r="G26" s="33" t="e">
        <f t="shared" si="0"/>
        <v>#N/A</v>
      </c>
      <c r="H26" s="33" t="e">
        <f t="shared" si="1"/>
        <v>#N/A</v>
      </c>
      <c r="I26" s="148" t="e">
        <f>VLOOKUP($G$12,INCREMENTO!$C$2:$D$5,2,FALSE)</f>
        <v>#N/A</v>
      </c>
      <c r="J26" s="32" t="e">
        <f>VLOOKUP($G$12,INCREMENTO!$C$2:$E$5,3,FALSE)</f>
        <v>#N/A</v>
      </c>
      <c r="K26" s="32">
        <v>1.03</v>
      </c>
      <c r="L26" s="33" t="str">
        <f>IF(E26="","",MROUND(E26*D26,1000))</f>
        <v/>
      </c>
      <c r="M26" s="12"/>
      <c r="N26" s="183" t="e">
        <f>VLOOKUP($D$10,AVALUOS_ESPECIALES!$A$2:$E$191,5,FALSE)</f>
        <v>#N/A</v>
      </c>
      <c r="O26" s="183" t="e">
        <f t="shared" si="2"/>
        <v>#N/A</v>
      </c>
      <c r="P26" s="184" t="e">
        <f>O26*I26</f>
        <v>#N/A</v>
      </c>
      <c r="Q26" s="34" t="str">
        <f t="shared" si="3"/>
        <v/>
      </c>
      <c r="R26" s="34" t="str">
        <f t="shared" si="4"/>
        <v/>
      </c>
      <c r="S26" s="154" t="str">
        <f>+IFERROR(IF($D$11="RURAL",MROUND(R26*1.03,1),IF($D$11="URBANO",MROUND(1.0431*R26,1),"")),"")</f>
        <v/>
      </c>
      <c r="T26" s="185"/>
      <c r="U26" s="182"/>
      <c r="V26" s="185"/>
      <c r="W26" s="185"/>
      <c r="X26" s="186" t="str">
        <f>IF(OR(T26="",U26=""),"",VLOOKUP(V26,USO_ANE!$C$2:$E$61,3,FALSE))</f>
        <v/>
      </c>
      <c r="Y26" s="186" t="str">
        <f t="shared" si="6"/>
        <v/>
      </c>
    </row>
    <row r="27" spans="2:25" s="37" customFormat="1" x14ac:dyDescent="0.35">
      <c r="B27" s="100"/>
      <c r="C27" s="100"/>
      <c r="D27" s="100"/>
    </row>
    <row r="28" spans="2:25" s="37" customFormat="1" x14ac:dyDescent="0.35">
      <c r="B28" s="100"/>
      <c r="C28" s="100"/>
      <c r="D28" s="100"/>
    </row>
    <row r="29" spans="2:25" s="37" customFormat="1" x14ac:dyDescent="0.35">
      <c r="B29" s="100"/>
      <c r="C29" s="100"/>
      <c r="D29" s="55" t="str">
        <f>+"AVALÚO CATASTRAL TERRENO "&amp;R11</f>
        <v>AVALÚO CATASTRAL TERRENO 2025</v>
      </c>
      <c r="E29" s="35">
        <f>SUM(L20:L26)</f>
        <v>0</v>
      </c>
      <c r="F29" s="47"/>
    </row>
    <row r="30" spans="2:25" s="37" customFormat="1" x14ac:dyDescent="0.35">
      <c r="B30" s="100"/>
      <c r="C30" s="100"/>
      <c r="D30" s="55" t="str">
        <f>+"AVALÚO CATASTRAL CONSTRUCCIÓN "&amp;R11</f>
        <v>AVALÚO CATASTRAL CONSTRUCCIÓN 2025</v>
      </c>
      <c r="E30" s="35">
        <f>SUM(R20:R26)</f>
        <v>0</v>
      </c>
      <c r="F30" s="47"/>
    </row>
    <row r="31" spans="2:25" s="37" customFormat="1" x14ac:dyDescent="0.35">
      <c r="B31" s="100"/>
      <c r="C31" s="100"/>
      <c r="D31" s="55" t="str">
        <f>+"AVALÚO CATASTRAL TOTAL "&amp;R11</f>
        <v>AVALÚO CATASTRAL TOTAL 2025</v>
      </c>
      <c r="E31" s="36">
        <f>SUM(E29:E30)</f>
        <v>0</v>
      </c>
      <c r="F31" s="147"/>
      <c r="M31" s="37" t="s">
        <v>630</v>
      </c>
    </row>
    <row r="32" spans="2:25" s="37" customFormat="1" x14ac:dyDescent="0.35">
      <c r="B32" s="100"/>
      <c r="C32" s="100"/>
      <c r="D32" s="100"/>
    </row>
    <row r="33" spans="2:4" s="37" customFormat="1" x14ac:dyDescent="0.35">
      <c r="B33" s="100"/>
      <c r="C33" s="100"/>
      <c r="D33" s="100"/>
    </row>
    <row r="34" spans="2:4" s="37" customFormat="1" x14ac:dyDescent="0.35">
      <c r="B34" s="100"/>
      <c r="C34" s="100"/>
      <c r="D34" s="100"/>
    </row>
    <row r="35" spans="2:4" s="37" customFormat="1" x14ac:dyDescent="0.35">
      <c r="B35" s="100"/>
      <c r="C35" s="100"/>
      <c r="D35" s="100"/>
    </row>
    <row r="36" spans="2:4" s="37" customFormat="1" x14ac:dyDescent="0.35">
      <c r="B36" s="100"/>
      <c r="C36" s="100"/>
      <c r="D36" s="100"/>
    </row>
    <row r="37" spans="2:4" s="37" customFormat="1" x14ac:dyDescent="0.35">
      <c r="B37" s="100"/>
      <c r="C37" s="100"/>
      <c r="D37" s="100"/>
    </row>
    <row r="38" spans="2:4" s="37" customFormat="1" x14ac:dyDescent="0.35">
      <c r="B38" s="100"/>
      <c r="C38" s="100"/>
      <c r="D38" s="100"/>
    </row>
    <row r="39" spans="2:4" s="37" customFormat="1" x14ac:dyDescent="0.35">
      <c r="B39" s="100"/>
      <c r="C39" s="100"/>
      <c r="D39" s="100"/>
    </row>
    <row r="40" spans="2:4" s="37" customFormat="1" x14ac:dyDescent="0.35">
      <c r="B40" s="100"/>
      <c r="C40" s="100"/>
      <c r="D40" s="100"/>
    </row>
    <row r="41" spans="2:4" s="37" customFormat="1" x14ac:dyDescent="0.35">
      <c r="B41" s="100"/>
      <c r="C41" s="100"/>
      <c r="D41" s="100"/>
    </row>
    <row r="42" spans="2:4" s="37" customFormat="1" x14ac:dyDescent="0.35">
      <c r="B42" s="100"/>
      <c r="C42" s="100"/>
      <c r="D42" s="100"/>
    </row>
    <row r="43" spans="2:4" s="37" customFormat="1" x14ac:dyDescent="0.35">
      <c r="B43" s="100"/>
      <c r="C43" s="100"/>
      <c r="D43" s="100"/>
    </row>
    <row r="44" spans="2:4" s="37" customFormat="1" x14ac:dyDescent="0.35">
      <c r="B44" s="100"/>
      <c r="C44" s="100"/>
      <c r="D44" s="100"/>
    </row>
    <row r="45" spans="2:4" s="37" customFormat="1" x14ac:dyDescent="0.35">
      <c r="B45" s="100"/>
      <c r="C45" s="100"/>
      <c r="D45" s="100"/>
    </row>
    <row r="46" spans="2:4" s="37" customFormat="1" x14ac:dyDescent="0.35">
      <c r="B46" s="100"/>
      <c r="C46" s="100"/>
      <c r="D46" s="100"/>
    </row>
    <row r="47" spans="2:4" s="37" customFormat="1" x14ac:dyDescent="0.35">
      <c r="B47" s="100"/>
      <c r="C47" s="100"/>
      <c r="D47" s="100"/>
    </row>
    <row r="48" spans="2:4" s="37" customFormat="1" x14ac:dyDescent="0.35">
      <c r="B48" s="100"/>
      <c r="C48" s="100"/>
      <c r="D48" s="100"/>
    </row>
    <row r="49" spans="2:4" s="37" customFormat="1" x14ac:dyDescent="0.35">
      <c r="B49" s="100"/>
      <c r="C49" s="100"/>
      <c r="D49" s="100"/>
    </row>
    <row r="50" spans="2:4" s="37" customFormat="1" x14ac:dyDescent="0.35">
      <c r="B50" s="100"/>
      <c r="C50" s="100"/>
      <c r="D50" s="100"/>
    </row>
    <row r="51" spans="2:4" s="37" customFormat="1" x14ac:dyDescent="0.35">
      <c r="B51" s="100"/>
      <c r="C51" s="100"/>
      <c r="D51" s="100"/>
    </row>
    <row r="52" spans="2:4" s="37" customFormat="1" x14ac:dyDescent="0.35">
      <c r="B52" s="100"/>
      <c r="C52" s="100"/>
      <c r="D52" s="100"/>
    </row>
    <row r="53" spans="2:4" s="37" customFormat="1" x14ac:dyDescent="0.35">
      <c r="B53" s="100"/>
      <c r="C53" s="100"/>
      <c r="D53" s="100"/>
    </row>
    <row r="54" spans="2:4" s="37" customFormat="1" x14ac:dyDescent="0.35">
      <c r="B54" s="100"/>
      <c r="C54" s="100"/>
      <c r="D54" s="100"/>
    </row>
    <row r="55" spans="2:4" s="37" customFormat="1" x14ac:dyDescent="0.35">
      <c r="B55" s="100"/>
      <c r="C55" s="100"/>
      <c r="D55" s="100"/>
    </row>
    <row r="56" spans="2:4" s="37" customFormat="1" x14ac:dyDescent="0.35">
      <c r="B56" s="100"/>
      <c r="C56" s="100"/>
      <c r="D56" s="100"/>
    </row>
    <row r="57" spans="2:4" s="37" customFormat="1" x14ac:dyDescent="0.35">
      <c r="B57" s="100"/>
      <c r="C57" s="100"/>
      <c r="D57" s="100"/>
    </row>
    <row r="58" spans="2:4" s="37" customFormat="1" x14ac:dyDescent="0.35">
      <c r="B58" s="100"/>
      <c r="C58" s="100"/>
      <c r="D58" s="100"/>
    </row>
    <row r="59" spans="2:4" s="37" customFormat="1" x14ac:dyDescent="0.35">
      <c r="B59" s="100"/>
      <c r="C59" s="100"/>
      <c r="D59" s="100"/>
    </row>
    <row r="60" spans="2:4" s="37" customFormat="1" x14ac:dyDescent="0.35">
      <c r="B60" s="100"/>
      <c r="C60" s="100"/>
      <c r="D60" s="100"/>
    </row>
    <row r="61" spans="2:4" s="37" customFormat="1" x14ac:dyDescent="0.35">
      <c r="B61" s="100"/>
      <c r="C61" s="100"/>
      <c r="D61" s="100"/>
    </row>
    <row r="62" spans="2:4" s="37" customFormat="1" x14ac:dyDescent="0.35">
      <c r="B62" s="100"/>
      <c r="C62" s="100"/>
      <c r="D62" s="100"/>
    </row>
    <row r="63" spans="2:4" s="37" customFormat="1" x14ac:dyDescent="0.35">
      <c r="B63" s="100"/>
      <c r="C63" s="100"/>
      <c r="D63" s="100"/>
    </row>
    <row r="64" spans="2:4" s="37" customFormat="1" x14ac:dyDescent="0.35">
      <c r="B64" s="100"/>
      <c r="C64" s="100"/>
      <c r="D64" s="100"/>
    </row>
    <row r="65" spans="2:4" s="37" customFormat="1" x14ac:dyDescent="0.35">
      <c r="B65" s="100"/>
      <c r="C65" s="100"/>
      <c r="D65" s="100"/>
    </row>
    <row r="66" spans="2:4" s="37" customFormat="1" x14ac:dyDescent="0.35">
      <c r="B66" s="100"/>
      <c r="C66" s="100"/>
      <c r="D66" s="100"/>
    </row>
    <row r="67" spans="2:4" s="37" customFormat="1" x14ac:dyDescent="0.35">
      <c r="B67" s="100"/>
      <c r="C67" s="100"/>
      <c r="D67" s="100"/>
    </row>
    <row r="68" spans="2:4" s="37" customFormat="1" x14ac:dyDescent="0.35">
      <c r="B68" s="100"/>
      <c r="C68" s="100"/>
      <c r="D68" s="100"/>
    </row>
    <row r="69" spans="2:4" s="37" customFormat="1" x14ac:dyDescent="0.35">
      <c r="B69" s="100"/>
      <c r="C69" s="100"/>
      <c r="D69" s="100"/>
    </row>
    <row r="70" spans="2:4" s="37" customFormat="1" x14ac:dyDescent="0.35">
      <c r="B70" s="100"/>
      <c r="C70" s="100"/>
      <c r="D70" s="100"/>
    </row>
    <row r="71" spans="2:4" s="37" customFormat="1" x14ac:dyDescent="0.35">
      <c r="B71" s="100"/>
      <c r="C71" s="100"/>
      <c r="D71" s="100"/>
    </row>
    <row r="72" spans="2:4" s="37" customFormat="1" x14ac:dyDescent="0.35">
      <c r="B72" s="100"/>
      <c r="C72" s="100"/>
      <c r="D72" s="100"/>
    </row>
    <row r="73" spans="2:4" s="37" customFormat="1" x14ac:dyDescent="0.35">
      <c r="B73" s="100"/>
      <c r="C73" s="100"/>
      <c r="D73" s="100"/>
    </row>
    <row r="74" spans="2:4" s="37" customFormat="1" x14ac:dyDescent="0.35">
      <c r="B74" s="100"/>
      <c r="C74" s="100"/>
      <c r="D74" s="100"/>
    </row>
    <row r="75" spans="2:4" s="37" customFormat="1" x14ac:dyDescent="0.35">
      <c r="B75" s="100"/>
      <c r="C75" s="100"/>
      <c r="D75" s="100"/>
    </row>
    <row r="76" spans="2:4" s="37" customFormat="1" x14ac:dyDescent="0.35">
      <c r="B76" s="100"/>
      <c r="C76" s="100"/>
      <c r="D76" s="100"/>
    </row>
    <row r="77" spans="2:4" s="37" customFormat="1" x14ac:dyDescent="0.35">
      <c r="B77" s="100"/>
      <c r="C77" s="100"/>
      <c r="D77" s="100"/>
    </row>
    <row r="78" spans="2:4" s="37" customFormat="1" x14ac:dyDescent="0.35">
      <c r="B78" s="100"/>
      <c r="C78" s="100"/>
      <c r="D78" s="100"/>
    </row>
    <row r="79" spans="2:4" s="37" customFormat="1" x14ac:dyDescent="0.35">
      <c r="B79" s="100"/>
      <c r="C79" s="100"/>
      <c r="D79" s="100"/>
    </row>
    <row r="80" spans="2:4" s="37" customFormat="1" x14ac:dyDescent="0.35">
      <c r="B80" s="100"/>
      <c r="C80" s="100"/>
      <c r="D80" s="100"/>
    </row>
    <row r="81" spans="2:4" s="37" customFormat="1" x14ac:dyDescent="0.35">
      <c r="B81" s="100"/>
      <c r="C81" s="100"/>
      <c r="D81" s="100"/>
    </row>
    <row r="82" spans="2:4" s="37" customFormat="1" x14ac:dyDescent="0.35">
      <c r="B82" s="100"/>
      <c r="C82" s="100"/>
      <c r="D82" s="100"/>
    </row>
    <row r="83" spans="2:4" s="37" customFormat="1" x14ac:dyDescent="0.35">
      <c r="B83" s="100"/>
      <c r="C83" s="100"/>
      <c r="D83" s="100"/>
    </row>
    <row r="84" spans="2:4" s="37" customFormat="1" x14ac:dyDescent="0.35">
      <c r="B84" s="100"/>
      <c r="C84" s="100"/>
      <c r="D84" s="100"/>
    </row>
    <row r="85" spans="2:4" s="37" customFormat="1" x14ac:dyDescent="0.35">
      <c r="B85" s="100"/>
      <c r="C85" s="100"/>
      <c r="D85" s="100"/>
    </row>
    <row r="86" spans="2:4" s="37" customFormat="1" x14ac:dyDescent="0.35">
      <c r="B86" s="100"/>
      <c r="C86" s="100"/>
      <c r="D86" s="100"/>
    </row>
    <row r="87" spans="2:4" s="37" customFormat="1" x14ac:dyDescent="0.35">
      <c r="B87" s="100"/>
      <c r="C87" s="100"/>
      <c r="D87" s="100"/>
    </row>
    <row r="88" spans="2:4" s="37" customFormat="1" x14ac:dyDescent="0.35">
      <c r="B88" s="100"/>
      <c r="C88" s="100"/>
      <c r="D88" s="100"/>
    </row>
    <row r="89" spans="2:4" s="37" customFormat="1" x14ac:dyDescent="0.35">
      <c r="B89" s="100"/>
      <c r="C89" s="100"/>
      <c r="D89" s="100"/>
    </row>
    <row r="90" spans="2:4" s="37" customFormat="1" x14ac:dyDescent="0.35">
      <c r="B90" s="100"/>
      <c r="C90" s="100"/>
      <c r="D90" s="100"/>
    </row>
    <row r="91" spans="2:4" s="37" customFormat="1" x14ac:dyDescent="0.35">
      <c r="B91" s="100"/>
      <c r="C91" s="100"/>
      <c r="D91" s="100"/>
    </row>
    <row r="92" spans="2:4" s="37" customFormat="1" x14ac:dyDescent="0.35">
      <c r="B92" s="100"/>
      <c r="C92" s="100"/>
      <c r="D92" s="100"/>
    </row>
    <row r="93" spans="2:4" s="37" customFormat="1" x14ac:dyDescent="0.35">
      <c r="B93" s="100"/>
      <c r="C93" s="100"/>
      <c r="D93" s="100"/>
    </row>
    <row r="94" spans="2:4" s="37" customFormat="1" x14ac:dyDescent="0.35">
      <c r="B94" s="100"/>
      <c r="C94" s="100"/>
      <c r="D94" s="100"/>
    </row>
    <row r="95" spans="2:4" s="37" customFormat="1" x14ac:dyDescent="0.35">
      <c r="B95" s="100"/>
      <c r="C95" s="100"/>
      <c r="D95" s="100"/>
    </row>
    <row r="96" spans="2:4" s="37" customFormat="1" x14ac:dyDescent="0.35">
      <c r="B96" s="100"/>
      <c r="C96" s="100"/>
      <c r="D96" s="100"/>
    </row>
    <row r="97" spans="2:4" s="37" customFormat="1" x14ac:dyDescent="0.35">
      <c r="B97" s="100"/>
      <c r="C97" s="100"/>
      <c r="D97" s="100"/>
    </row>
    <row r="98" spans="2:4" s="37" customFormat="1" x14ac:dyDescent="0.35">
      <c r="B98" s="100"/>
      <c r="C98" s="100"/>
      <c r="D98" s="100"/>
    </row>
    <row r="99" spans="2:4" s="37" customFormat="1" x14ac:dyDescent="0.35">
      <c r="B99" s="100"/>
      <c r="C99" s="100"/>
      <c r="D99" s="100"/>
    </row>
    <row r="100" spans="2:4" s="37" customFormat="1" x14ac:dyDescent="0.35">
      <c r="B100" s="100"/>
      <c r="C100" s="100"/>
      <c r="D100" s="100"/>
    </row>
    <row r="101" spans="2:4" s="37" customFormat="1" x14ac:dyDescent="0.35">
      <c r="B101" s="100"/>
      <c r="C101" s="100"/>
      <c r="D101" s="100"/>
    </row>
    <row r="102" spans="2:4" s="37" customFormat="1" x14ac:dyDescent="0.35">
      <c r="B102" s="100"/>
      <c r="C102" s="100"/>
      <c r="D102" s="100"/>
    </row>
    <row r="103" spans="2:4" s="37" customFormat="1" x14ac:dyDescent="0.35">
      <c r="B103" s="100"/>
      <c r="C103" s="100"/>
      <c r="D103" s="100"/>
    </row>
    <row r="104" spans="2:4" s="37" customFormat="1" x14ac:dyDescent="0.35">
      <c r="B104" s="100"/>
      <c r="C104" s="100"/>
      <c r="D104" s="100"/>
    </row>
    <row r="105" spans="2:4" s="37" customFormat="1" x14ac:dyDescent="0.35">
      <c r="B105" s="100"/>
      <c r="C105" s="100"/>
      <c r="D105" s="100"/>
    </row>
    <row r="106" spans="2:4" s="37" customFormat="1" x14ac:dyDescent="0.35">
      <c r="B106" s="100"/>
      <c r="C106" s="100"/>
      <c r="D106" s="100"/>
    </row>
    <row r="107" spans="2:4" s="37" customFormat="1" x14ac:dyDescent="0.35">
      <c r="B107" s="100"/>
      <c r="C107" s="100"/>
      <c r="D107" s="100"/>
    </row>
    <row r="108" spans="2:4" s="37" customFormat="1" x14ac:dyDescent="0.35">
      <c r="B108" s="100"/>
      <c r="C108" s="100"/>
      <c r="D108" s="100"/>
    </row>
    <row r="109" spans="2:4" s="37" customFormat="1" x14ac:dyDescent="0.35">
      <c r="B109" s="100"/>
      <c r="C109" s="100"/>
      <c r="D109" s="100"/>
    </row>
    <row r="110" spans="2:4" s="37" customFormat="1" x14ac:dyDescent="0.35">
      <c r="B110" s="100"/>
      <c r="C110" s="100"/>
      <c r="D110" s="100"/>
    </row>
    <row r="111" spans="2:4" s="37" customFormat="1" x14ac:dyDescent="0.35">
      <c r="B111" s="100"/>
      <c r="C111" s="100"/>
      <c r="D111" s="100"/>
    </row>
    <row r="112" spans="2:4" s="37" customFormat="1" x14ac:dyDescent="0.35">
      <c r="B112" s="100"/>
      <c r="C112" s="100"/>
      <c r="D112" s="100"/>
    </row>
    <row r="113" spans="2:4" s="37" customFormat="1" x14ac:dyDescent="0.35">
      <c r="B113" s="100"/>
      <c r="C113" s="100"/>
      <c r="D113" s="100"/>
    </row>
    <row r="114" spans="2:4" s="37" customFormat="1" x14ac:dyDescent="0.35">
      <c r="B114" s="100"/>
      <c r="C114" s="100"/>
      <c r="D114" s="100"/>
    </row>
    <row r="115" spans="2:4" s="37" customFormat="1" x14ac:dyDescent="0.35">
      <c r="B115" s="100"/>
      <c r="C115" s="100"/>
      <c r="D115" s="100"/>
    </row>
    <row r="116" spans="2:4" s="37" customFormat="1" x14ac:dyDescent="0.35">
      <c r="B116" s="100"/>
      <c r="C116" s="100"/>
      <c r="D116" s="100"/>
    </row>
    <row r="117" spans="2:4" s="37" customFormat="1" x14ac:dyDescent="0.35">
      <c r="B117" s="100"/>
      <c r="C117" s="100"/>
      <c r="D117" s="100"/>
    </row>
    <row r="118" spans="2:4" s="37" customFormat="1" x14ac:dyDescent="0.35">
      <c r="B118" s="100"/>
      <c r="C118" s="100"/>
      <c r="D118" s="100"/>
    </row>
    <row r="119" spans="2:4" s="37" customFormat="1" x14ac:dyDescent="0.35">
      <c r="B119" s="100"/>
      <c r="C119" s="100"/>
      <c r="D119" s="100"/>
    </row>
    <row r="120" spans="2:4" s="37" customFormat="1" x14ac:dyDescent="0.35">
      <c r="B120" s="100"/>
      <c r="C120" s="100"/>
      <c r="D120" s="100"/>
    </row>
    <row r="121" spans="2:4" s="37" customFormat="1" x14ac:dyDescent="0.35">
      <c r="B121" s="100"/>
      <c r="C121" s="100"/>
      <c r="D121" s="100"/>
    </row>
    <row r="122" spans="2:4" s="37" customFormat="1" x14ac:dyDescent="0.35">
      <c r="B122" s="100"/>
      <c r="C122" s="100"/>
      <c r="D122" s="100"/>
    </row>
    <row r="123" spans="2:4" s="37" customFormat="1" x14ac:dyDescent="0.35">
      <c r="B123" s="100"/>
      <c r="C123" s="100"/>
      <c r="D123" s="100"/>
    </row>
    <row r="124" spans="2:4" s="37" customFormat="1" x14ac:dyDescent="0.35">
      <c r="B124" s="100"/>
      <c r="C124" s="100"/>
      <c r="D124" s="100"/>
    </row>
    <row r="125" spans="2:4" s="37" customFormat="1" x14ac:dyDescent="0.35">
      <c r="B125" s="100"/>
      <c r="C125" s="100"/>
      <c r="D125" s="100"/>
    </row>
    <row r="126" spans="2:4" s="37" customFormat="1" x14ac:dyDescent="0.35">
      <c r="B126" s="100"/>
      <c r="C126" s="100"/>
      <c r="D126" s="100"/>
    </row>
    <row r="127" spans="2:4" s="37" customFormat="1" x14ac:dyDescent="0.35">
      <c r="B127" s="100"/>
      <c r="C127" s="100"/>
      <c r="D127" s="100"/>
    </row>
    <row r="128" spans="2:4" s="37" customFormat="1" x14ac:dyDescent="0.35">
      <c r="B128" s="100"/>
      <c r="C128" s="100"/>
      <c r="D128" s="100"/>
    </row>
    <row r="129" spans="2:4" s="37" customFormat="1" x14ac:dyDescent="0.35">
      <c r="B129" s="100"/>
      <c r="C129" s="100"/>
      <c r="D129" s="100"/>
    </row>
    <row r="130" spans="2:4" s="37" customFormat="1" x14ac:dyDescent="0.35">
      <c r="B130" s="100"/>
      <c r="C130" s="100"/>
      <c r="D130" s="100"/>
    </row>
    <row r="131" spans="2:4" s="37" customFormat="1" x14ac:dyDescent="0.35">
      <c r="B131" s="100"/>
      <c r="C131" s="100"/>
      <c r="D131" s="100"/>
    </row>
    <row r="132" spans="2:4" s="37" customFormat="1" x14ac:dyDescent="0.35">
      <c r="B132" s="100"/>
      <c r="C132" s="100"/>
      <c r="D132" s="100"/>
    </row>
    <row r="133" spans="2:4" s="37" customFormat="1" x14ac:dyDescent="0.35">
      <c r="B133" s="100"/>
      <c r="C133" s="100"/>
      <c r="D133" s="100"/>
    </row>
    <row r="134" spans="2:4" s="37" customFormat="1" x14ac:dyDescent="0.35">
      <c r="B134" s="100"/>
      <c r="C134" s="100"/>
      <c r="D134" s="100"/>
    </row>
    <row r="135" spans="2:4" s="37" customFormat="1" x14ac:dyDescent="0.35">
      <c r="B135" s="100"/>
      <c r="C135" s="100"/>
      <c r="D135" s="100"/>
    </row>
    <row r="136" spans="2:4" s="37" customFormat="1" x14ac:dyDescent="0.35">
      <c r="B136" s="100"/>
      <c r="C136" s="100"/>
      <c r="D136" s="100"/>
    </row>
    <row r="137" spans="2:4" s="37" customFormat="1" x14ac:dyDescent="0.35">
      <c r="B137" s="100"/>
      <c r="C137" s="100"/>
      <c r="D137" s="100"/>
    </row>
    <row r="138" spans="2:4" s="37" customFormat="1" x14ac:dyDescent="0.35">
      <c r="B138" s="100"/>
      <c r="C138" s="100"/>
      <c r="D138" s="100"/>
    </row>
    <row r="139" spans="2:4" s="37" customFormat="1" x14ac:dyDescent="0.35">
      <c r="B139" s="100"/>
      <c r="C139" s="100"/>
      <c r="D139" s="100"/>
    </row>
    <row r="140" spans="2:4" s="37" customFormat="1" x14ac:dyDescent="0.35">
      <c r="B140" s="100"/>
      <c r="C140" s="100"/>
      <c r="D140" s="100"/>
    </row>
    <row r="141" spans="2:4" s="37" customFormat="1" x14ac:dyDescent="0.35">
      <c r="B141" s="100"/>
      <c r="C141" s="100"/>
      <c r="D141" s="100"/>
    </row>
    <row r="142" spans="2:4" s="37" customFormat="1" x14ac:dyDescent="0.35">
      <c r="B142" s="100"/>
      <c r="C142" s="100"/>
      <c r="D142" s="100"/>
    </row>
    <row r="143" spans="2:4" s="37" customFormat="1" x14ac:dyDescent="0.35">
      <c r="B143" s="100"/>
      <c r="C143" s="100"/>
      <c r="D143" s="100"/>
    </row>
    <row r="144" spans="2:4" s="37" customFormat="1" x14ac:dyDescent="0.35">
      <c r="B144" s="100"/>
      <c r="C144" s="100"/>
      <c r="D144" s="100"/>
    </row>
    <row r="145" spans="2:4" s="37" customFormat="1" x14ac:dyDescent="0.35">
      <c r="B145" s="100"/>
      <c r="C145" s="100"/>
      <c r="D145" s="100"/>
    </row>
    <row r="146" spans="2:4" s="37" customFormat="1" x14ac:dyDescent="0.35">
      <c r="B146" s="100"/>
      <c r="C146" s="100"/>
      <c r="D146" s="100"/>
    </row>
    <row r="147" spans="2:4" s="37" customFormat="1" x14ac:dyDescent="0.35">
      <c r="B147" s="100"/>
      <c r="C147" s="100"/>
      <c r="D147" s="100"/>
    </row>
    <row r="148" spans="2:4" s="37" customFormat="1" x14ac:dyDescent="0.35">
      <c r="B148" s="100"/>
      <c r="C148" s="100"/>
      <c r="D148" s="100"/>
    </row>
    <row r="149" spans="2:4" s="37" customFormat="1" x14ac:dyDescent="0.35">
      <c r="B149" s="100"/>
      <c r="C149" s="100"/>
      <c r="D149" s="100"/>
    </row>
    <row r="150" spans="2:4" s="37" customFormat="1" x14ac:dyDescent="0.35">
      <c r="B150" s="100"/>
      <c r="C150" s="100"/>
      <c r="D150" s="100"/>
    </row>
    <row r="151" spans="2:4" s="37" customFormat="1" x14ac:dyDescent="0.35">
      <c r="B151" s="100"/>
      <c r="C151" s="100"/>
      <c r="D151" s="100"/>
    </row>
    <row r="152" spans="2:4" s="37" customFormat="1" x14ac:dyDescent="0.35">
      <c r="B152" s="100"/>
      <c r="C152" s="100"/>
      <c r="D152" s="100"/>
    </row>
    <row r="153" spans="2:4" s="37" customFormat="1" x14ac:dyDescent="0.35">
      <c r="B153" s="100"/>
      <c r="C153" s="100"/>
      <c r="D153" s="100"/>
    </row>
    <row r="154" spans="2:4" s="37" customFormat="1" x14ac:dyDescent="0.35">
      <c r="B154" s="100"/>
      <c r="C154" s="100"/>
      <c r="D154" s="100"/>
    </row>
    <row r="155" spans="2:4" s="37" customFormat="1" x14ac:dyDescent="0.35">
      <c r="B155" s="100"/>
      <c r="C155" s="100"/>
      <c r="D155" s="100"/>
    </row>
    <row r="156" spans="2:4" s="37" customFormat="1" x14ac:dyDescent="0.35">
      <c r="B156" s="100"/>
      <c r="C156" s="100"/>
      <c r="D156" s="100"/>
    </row>
    <row r="157" spans="2:4" s="37" customFormat="1" x14ac:dyDescent="0.35">
      <c r="B157" s="100"/>
      <c r="C157" s="100"/>
      <c r="D157" s="100"/>
    </row>
    <row r="158" spans="2:4" s="37" customFormat="1" x14ac:dyDescent="0.35">
      <c r="B158" s="100"/>
      <c r="C158" s="100"/>
      <c r="D158" s="100"/>
    </row>
    <row r="159" spans="2:4" s="37" customFormat="1" x14ac:dyDescent="0.35">
      <c r="B159" s="100"/>
      <c r="C159" s="100"/>
      <c r="D159" s="100"/>
    </row>
    <row r="160" spans="2:4" s="37" customFormat="1" x14ac:dyDescent="0.35">
      <c r="B160" s="100"/>
      <c r="C160" s="100"/>
      <c r="D160" s="100"/>
    </row>
    <row r="161" spans="2:4" s="37" customFormat="1" x14ac:dyDescent="0.35">
      <c r="B161" s="100"/>
      <c r="C161" s="100"/>
      <c r="D161" s="100"/>
    </row>
    <row r="162" spans="2:4" s="37" customFormat="1" x14ac:dyDescent="0.35">
      <c r="B162" s="100"/>
      <c r="C162" s="100"/>
      <c r="D162" s="100"/>
    </row>
    <row r="163" spans="2:4" s="37" customFormat="1" x14ac:dyDescent="0.35">
      <c r="B163" s="100"/>
      <c r="C163" s="100"/>
      <c r="D163" s="100"/>
    </row>
    <row r="164" spans="2:4" s="37" customFormat="1" x14ac:dyDescent="0.35">
      <c r="B164" s="100"/>
      <c r="C164" s="100"/>
      <c r="D164" s="100"/>
    </row>
    <row r="165" spans="2:4" s="37" customFormat="1" x14ac:dyDescent="0.35">
      <c r="B165" s="100"/>
      <c r="C165" s="100"/>
      <c r="D165" s="100"/>
    </row>
    <row r="166" spans="2:4" s="37" customFormat="1" x14ac:dyDescent="0.35">
      <c r="B166" s="100"/>
      <c r="C166" s="100"/>
      <c r="D166" s="100"/>
    </row>
    <row r="167" spans="2:4" s="37" customFormat="1" x14ac:dyDescent="0.35">
      <c r="B167" s="100"/>
      <c r="C167" s="100"/>
      <c r="D167" s="100"/>
    </row>
    <row r="168" spans="2:4" s="37" customFormat="1" x14ac:dyDescent="0.35">
      <c r="B168" s="100"/>
      <c r="C168" s="100"/>
      <c r="D168" s="100"/>
    </row>
    <row r="169" spans="2:4" s="37" customFormat="1" x14ac:dyDescent="0.35">
      <c r="B169" s="100"/>
      <c r="C169" s="100"/>
      <c r="D169" s="100"/>
    </row>
    <row r="170" spans="2:4" s="37" customFormat="1" x14ac:dyDescent="0.35">
      <c r="B170" s="100"/>
      <c r="C170" s="100"/>
      <c r="D170" s="100"/>
    </row>
    <row r="171" spans="2:4" s="37" customFormat="1" x14ac:dyDescent="0.35">
      <c r="B171" s="100"/>
      <c r="C171" s="100"/>
      <c r="D171" s="100"/>
    </row>
    <row r="172" spans="2:4" s="37" customFormat="1" x14ac:dyDescent="0.35">
      <c r="B172" s="100"/>
      <c r="C172" s="100"/>
      <c r="D172" s="100"/>
    </row>
    <row r="173" spans="2:4" s="37" customFormat="1" x14ac:dyDescent="0.35">
      <c r="B173" s="100"/>
      <c r="C173" s="100"/>
      <c r="D173" s="100"/>
    </row>
    <row r="174" spans="2:4" s="37" customFormat="1" x14ac:dyDescent="0.35">
      <c r="B174" s="100"/>
      <c r="C174" s="100"/>
      <c r="D174" s="100"/>
    </row>
    <row r="175" spans="2:4" s="37" customFormat="1" x14ac:dyDescent="0.35">
      <c r="B175" s="100"/>
      <c r="C175" s="100"/>
      <c r="D175" s="100"/>
    </row>
    <row r="176" spans="2:4" s="37" customFormat="1" x14ac:dyDescent="0.35">
      <c r="B176" s="100"/>
      <c r="C176" s="100"/>
      <c r="D176" s="100"/>
    </row>
    <row r="177" spans="2:4" s="37" customFormat="1" x14ac:dyDescent="0.35">
      <c r="B177" s="100"/>
      <c r="C177" s="100"/>
      <c r="D177" s="100"/>
    </row>
    <row r="178" spans="2:4" s="37" customFormat="1" x14ac:dyDescent="0.35">
      <c r="B178" s="100"/>
      <c r="C178" s="100"/>
      <c r="D178" s="100"/>
    </row>
    <row r="179" spans="2:4" s="37" customFormat="1" x14ac:dyDescent="0.35">
      <c r="B179" s="100"/>
      <c r="C179" s="100"/>
      <c r="D179" s="100"/>
    </row>
    <row r="180" spans="2:4" s="37" customFormat="1" x14ac:dyDescent="0.35">
      <c r="B180" s="100"/>
      <c r="C180" s="100"/>
      <c r="D180" s="100"/>
    </row>
    <row r="181" spans="2:4" s="37" customFormat="1" x14ac:dyDescent="0.35">
      <c r="B181" s="100"/>
      <c r="C181" s="100"/>
      <c r="D181" s="100"/>
    </row>
    <row r="182" spans="2:4" s="37" customFormat="1" x14ac:dyDescent="0.35">
      <c r="B182" s="100"/>
      <c r="C182" s="100"/>
      <c r="D182" s="100"/>
    </row>
    <row r="183" spans="2:4" s="37" customFormat="1" x14ac:dyDescent="0.35">
      <c r="B183" s="100"/>
      <c r="C183" s="100"/>
      <c r="D183" s="100"/>
    </row>
    <row r="184" spans="2:4" s="37" customFormat="1" x14ac:dyDescent="0.35">
      <c r="B184" s="100"/>
      <c r="C184" s="100"/>
      <c r="D184" s="100"/>
    </row>
    <row r="185" spans="2:4" s="37" customFormat="1" x14ac:dyDescent="0.35">
      <c r="B185" s="100"/>
      <c r="C185" s="100"/>
      <c r="D185" s="100"/>
    </row>
    <row r="186" spans="2:4" s="37" customFormat="1" x14ac:dyDescent="0.35">
      <c r="B186" s="100"/>
      <c r="C186" s="100"/>
      <c r="D186" s="100"/>
    </row>
    <row r="187" spans="2:4" s="37" customFormat="1" x14ac:dyDescent="0.35">
      <c r="B187" s="100"/>
      <c r="C187" s="100"/>
      <c r="D187" s="100"/>
    </row>
    <row r="188" spans="2:4" s="37" customFormat="1" x14ac:dyDescent="0.35">
      <c r="B188" s="100"/>
      <c r="C188" s="100"/>
      <c r="D188" s="100"/>
    </row>
    <row r="189" spans="2:4" s="37" customFormat="1" x14ac:dyDescent="0.35">
      <c r="B189" s="100"/>
      <c r="C189" s="100"/>
      <c r="D189" s="100"/>
    </row>
    <row r="190" spans="2:4" s="37" customFormat="1" x14ac:dyDescent="0.35">
      <c r="B190" s="100"/>
      <c r="C190" s="100"/>
      <c r="D190" s="100"/>
    </row>
    <row r="191" spans="2:4" s="37" customFormat="1" x14ac:dyDescent="0.35">
      <c r="B191" s="100"/>
      <c r="C191" s="100"/>
      <c r="D191" s="100"/>
    </row>
    <row r="192" spans="2:4" s="37" customFormat="1" x14ac:dyDescent="0.35">
      <c r="B192" s="100"/>
      <c r="C192" s="100"/>
      <c r="D192" s="100"/>
    </row>
    <row r="193" spans="2:4" s="37" customFormat="1" x14ac:dyDescent="0.35">
      <c r="B193" s="100"/>
      <c r="C193" s="100"/>
      <c r="D193" s="100"/>
    </row>
    <row r="194" spans="2:4" s="37" customFormat="1" x14ac:dyDescent="0.35">
      <c r="B194" s="100"/>
      <c r="C194" s="100"/>
      <c r="D194" s="100"/>
    </row>
    <row r="195" spans="2:4" s="37" customFormat="1" x14ac:dyDescent="0.35">
      <c r="B195" s="100"/>
      <c r="C195" s="100"/>
      <c r="D195" s="100"/>
    </row>
    <row r="196" spans="2:4" s="37" customFormat="1" x14ac:dyDescent="0.35">
      <c r="B196" s="100"/>
      <c r="C196" s="100"/>
      <c r="D196" s="100"/>
    </row>
    <row r="197" spans="2:4" s="37" customFormat="1" x14ac:dyDescent="0.35">
      <c r="B197" s="100"/>
      <c r="C197" s="100"/>
      <c r="D197" s="100"/>
    </row>
    <row r="198" spans="2:4" s="37" customFormat="1" x14ac:dyDescent="0.35">
      <c r="B198" s="100"/>
      <c r="C198" s="100"/>
      <c r="D198" s="100"/>
    </row>
    <row r="199" spans="2:4" s="37" customFormat="1" x14ac:dyDescent="0.35">
      <c r="B199" s="100"/>
      <c r="C199" s="100"/>
      <c r="D199" s="100"/>
    </row>
    <row r="200" spans="2:4" s="37" customFormat="1" x14ac:dyDescent="0.35">
      <c r="B200" s="100"/>
      <c r="C200" s="100"/>
      <c r="D200" s="100"/>
    </row>
    <row r="201" spans="2:4" s="37" customFormat="1" x14ac:dyDescent="0.35">
      <c r="B201" s="100"/>
      <c r="C201" s="100"/>
      <c r="D201" s="100"/>
    </row>
    <row r="202" spans="2:4" s="37" customFormat="1" x14ac:dyDescent="0.35">
      <c r="B202" s="100"/>
      <c r="C202" s="100"/>
      <c r="D202" s="100"/>
    </row>
    <row r="203" spans="2:4" s="37" customFormat="1" x14ac:dyDescent="0.35">
      <c r="B203" s="100"/>
      <c r="C203" s="100"/>
      <c r="D203" s="100"/>
    </row>
    <row r="204" spans="2:4" s="37" customFormat="1" x14ac:dyDescent="0.35">
      <c r="B204" s="100"/>
      <c r="C204" s="100"/>
      <c r="D204" s="100"/>
    </row>
    <row r="205" spans="2:4" s="37" customFormat="1" x14ac:dyDescent="0.35">
      <c r="B205" s="100"/>
      <c r="C205" s="100"/>
      <c r="D205" s="100"/>
    </row>
    <row r="206" spans="2:4" s="37" customFormat="1" x14ac:dyDescent="0.35">
      <c r="B206" s="100"/>
      <c r="C206" s="100"/>
      <c r="D206" s="100"/>
    </row>
    <row r="207" spans="2:4" s="37" customFormat="1" x14ac:dyDescent="0.35">
      <c r="B207" s="100"/>
      <c r="C207" s="100"/>
      <c r="D207" s="100"/>
    </row>
    <row r="208" spans="2:4" s="37" customFormat="1" x14ac:dyDescent="0.35">
      <c r="B208" s="100"/>
      <c r="C208" s="100"/>
      <c r="D208" s="100"/>
    </row>
    <row r="209" spans="2:4" s="37" customFormat="1" x14ac:dyDescent="0.35">
      <c r="B209" s="100"/>
      <c r="C209" s="100"/>
      <c r="D209" s="100"/>
    </row>
    <row r="210" spans="2:4" s="37" customFormat="1" x14ac:dyDescent="0.35">
      <c r="B210" s="100"/>
      <c r="C210" s="100"/>
      <c r="D210" s="100"/>
    </row>
    <row r="211" spans="2:4" s="37" customFormat="1" x14ac:dyDescent="0.35">
      <c r="B211" s="100"/>
      <c r="C211" s="100"/>
      <c r="D211" s="100"/>
    </row>
    <row r="212" spans="2:4" s="37" customFormat="1" x14ac:dyDescent="0.35">
      <c r="B212" s="100"/>
      <c r="C212" s="100"/>
      <c r="D212" s="100"/>
    </row>
    <row r="213" spans="2:4" s="37" customFormat="1" x14ac:dyDescent="0.35">
      <c r="B213" s="100"/>
      <c r="C213" s="100"/>
      <c r="D213" s="100"/>
    </row>
    <row r="214" spans="2:4" s="37" customFormat="1" x14ac:dyDescent="0.35">
      <c r="B214" s="100"/>
      <c r="C214" s="100"/>
      <c r="D214" s="100"/>
    </row>
    <row r="215" spans="2:4" s="37" customFormat="1" x14ac:dyDescent="0.35">
      <c r="B215" s="100"/>
      <c r="C215" s="100"/>
      <c r="D215" s="100"/>
    </row>
    <row r="216" spans="2:4" s="37" customFormat="1" x14ac:dyDescent="0.35">
      <c r="B216" s="100"/>
      <c r="C216" s="100"/>
      <c r="D216" s="100"/>
    </row>
    <row r="217" spans="2:4" s="37" customFormat="1" x14ac:dyDescent="0.35">
      <c r="B217" s="100"/>
      <c r="C217" s="100"/>
      <c r="D217" s="100"/>
    </row>
    <row r="218" spans="2:4" s="37" customFormat="1" x14ac:dyDescent="0.35">
      <c r="B218" s="100"/>
      <c r="C218" s="100"/>
      <c r="D218" s="100"/>
    </row>
    <row r="219" spans="2:4" s="37" customFormat="1" x14ac:dyDescent="0.35">
      <c r="B219" s="100"/>
      <c r="C219" s="100"/>
      <c r="D219" s="100"/>
    </row>
    <row r="220" spans="2:4" s="37" customFormat="1" x14ac:dyDescent="0.35">
      <c r="B220" s="100"/>
      <c r="C220" s="100"/>
      <c r="D220" s="100"/>
    </row>
    <row r="221" spans="2:4" s="37" customFormat="1" x14ac:dyDescent="0.35">
      <c r="B221" s="100"/>
      <c r="C221" s="100"/>
      <c r="D221" s="100"/>
    </row>
    <row r="222" spans="2:4" s="37" customFormat="1" x14ac:dyDescent="0.35">
      <c r="B222" s="100"/>
      <c r="C222" s="100"/>
      <c r="D222" s="100"/>
    </row>
    <row r="223" spans="2:4" s="37" customFormat="1" x14ac:dyDescent="0.35">
      <c r="B223" s="100"/>
      <c r="C223" s="100"/>
      <c r="D223" s="100"/>
    </row>
    <row r="224" spans="2:4" s="37" customFormat="1" x14ac:dyDescent="0.35">
      <c r="B224" s="100"/>
      <c r="C224" s="100"/>
      <c r="D224" s="100"/>
    </row>
    <row r="225" spans="2:4" s="37" customFormat="1" x14ac:dyDescent="0.35">
      <c r="B225" s="100"/>
      <c r="C225" s="100"/>
      <c r="D225" s="100"/>
    </row>
    <row r="226" spans="2:4" s="37" customFormat="1" x14ac:dyDescent="0.35">
      <c r="B226" s="100"/>
      <c r="C226" s="100"/>
      <c r="D226" s="100"/>
    </row>
    <row r="227" spans="2:4" s="37" customFormat="1" x14ac:dyDescent="0.35">
      <c r="B227" s="100"/>
      <c r="C227" s="100"/>
      <c r="D227" s="100"/>
    </row>
    <row r="228" spans="2:4" s="37" customFormat="1" x14ac:dyDescent="0.35">
      <c r="B228" s="100"/>
      <c r="C228" s="100"/>
      <c r="D228" s="100"/>
    </row>
    <row r="229" spans="2:4" s="37" customFormat="1" x14ac:dyDescent="0.35">
      <c r="B229" s="100"/>
      <c r="C229" s="100"/>
      <c r="D229" s="100"/>
    </row>
    <row r="230" spans="2:4" s="37" customFormat="1" x14ac:dyDescent="0.35">
      <c r="B230" s="100"/>
      <c r="C230" s="100"/>
      <c r="D230" s="100"/>
    </row>
    <row r="231" spans="2:4" s="37" customFormat="1" x14ac:dyDescent="0.35">
      <c r="B231" s="100"/>
      <c r="C231" s="100"/>
      <c r="D231" s="100"/>
    </row>
    <row r="232" spans="2:4" s="37" customFormat="1" x14ac:dyDescent="0.35">
      <c r="B232" s="100"/>
      <c r="C232" s="100"/>
      <c r="D232" s="100"/>
    </row>
    <row r="233" spans="2:4" s="37" customFormat="1" x14ac:dyDescent="0.35">
      <c r="B233" s="100"/>
      <c r="C233" s="100"/>
      <c r="D233" s="100"/>
    </row>
    <row r="234" spans="2:4" s="37" customFormat="1" x14ac:dyDescent="0.35">
      <c r="B234" s="100"/>
      <c r="C234" s="100"/>
      <c r="D234" s="100"/>
    </row>
    <row r="235" spans="2:4" s="37" customFormat="1" x14ac:dyDescent="0.35">
      <c r="B235" s="100"/>
      <c r="C235" s="100"/>
      <c r="D235" s="100"/>
    </row>
    <row r="236" spans="2:4" s="37" customFormat="1" x14ac:dyDescent="0.35">
      <c r="B236" s="100"/>
      <c r="C236" s="100"/>
      <c r="D236" s="100"/>
    </row>
    <row r="237" spans="2:4" s="37" customFormat="1" x14ac:dyDescent="0.35">
      <c r="B237" s="100"/>
      <c r="C237" s="100"/>
      <c r="D237" s="100"/>
    </row>
    <row r="238" spans="2:4" s="37" customFormat="1" x14ac:dyDescent="0.35">
      <c r="B238" s="100"/>
      <c r="C238" s="100"/>
      <c r="D238" s="100"/>
    </row>
    <row r="239" spans="2:4" s="37" customFormat="1" x14ac:dyDescent="0.35">
      <c r="B239" s="100"/>
      <c r="C239" s="100"/>
      <c r="D239" s="100"/>
    </row>
    <row r="240" spans="2:4" s="37" customFormat="1" x14ac:dyDescent="0.35">
      <c r="B240" s="100"/>
      <c r="C240" s="100"/>
      <c r="D240" s="100"/>
    </row>
    <row r="241" spans="2:4" s="37" customFormat="1" x14ac:dyDescent="0.35">
      <c r="B241" s="100"/>
      <c r="C241" s="100"/>
      <c r="D241" s="100"/>
    </row>
    <row r="242" spans="2:4" s="37" customFormat="1" x14ac:dyDescent="0.35">
      <c r="B242" s="100"/>
      <c r="C242" s="100"/>
      <c r="D242" s="100"/>
    </row>
    <row r="243" spans="2:4" s="37" customFormat="1" x14ac:dyDescent="0.35">
      <c r="B243" s="100"/>
      <c r="C243" s="100"/>
      <c r="D243" s="100"/>
    </row>
    <row r="244" spans="2:4" s="37" customFormat="1" x14ac:dyDescent="0.35">
      <c r="B244" s="100"/>
      <c r="C244" s="100"/>
      <c r="D244" s="100"/>
    </row>
    <row r="245" spans="2:4" s="37" customFormat="1" x14ac:dyDescent="0.35">
      <c r="B245" s="100"/>
      <c r="C245" s="100"/>
      <c r="D245" s="100"/>
    </row>
    <row r="246" spans="2:4" s="37" customFormat="1" x14ac:dyDescent="0.35">
      <c r="B246" s="100"/>
      <c r="C246" s="100"/>
      <c r="D246" s="100"/>
    </row>
    <row r="247" spans="2:4" s="37" customFormat="1" x14ac:dyDescent="0.35">
      <c r="B247" s="100"/>
      <c r="C247" s="100"/>
      <c r="D247" s="100"/>
    </row>
    <row r="248" spans="2:4" s="37" customFormat="1" x14ac:dyDescent="0.35">
      <c r="B248" s="100"/>
      <c r="C248" s="100"/>
      <c r="D248" s="100"/>
    </row>
    <row r="249" spans="2:4" s="37" customFormat="1" x14ac:dyDescent="0.35">
      <c r="B249" s="100"/>
      <c r="C249" s="100"/>
      <c r="D249" s="100"/>
    </row>
    <row r="250" spans="2:4" s="37" customFormat="1" x14ac:dyDescent="0.35">
      <c r="B250" s="100"/>
      <c r="C250" s="100"/>
      <c r="D250" s="100"/>
    </row>
    <row r="251" spans="2:4" s="37" customFormat="1" x14ac:dyDescent="0.35">
      <c r="B251" s="100"/>
      <c r="C251" s="100"/>
      <c r="D251" s="100"/>
    </row>
    <row r="252" spans="2:4" s="37" customFormat="1" x14ac:dyDescent="0.35">
      <c r="B252" s="100"/>
      <c r="C252" s="100"/>
      <c r="D252" s="100"/>
    </row>
    <row r="253" spans="2:4" s="37" customFormat="1" x14ac:dyDescent="0.35">
      <c r="B253" s="100"/>
      <c r="C253" s="100"/>
      <c r="D253" s="100"/>
    </row>
    <row r="254" spans="2:4" s="37" customFormat="1" x14ac:dyDescent="0.35">
      <c r="B254" s="100"/>
      <c r="C254" s="100"/>
      <c r="D254" s="100"/>
    </row>
    <row r="255" spans="2:4" s="37" customFormat="1" x14ac:dyDescent="0.35">
      <c r="B255" s="100"/>
      <c r="C255" s="100"/>
      <c r="D255" s="100"/>
    </row>
    <row r="256" spans="2:4" s="37" customFormat="1" x14ac:dyDescent="0.35">
      <c r="B256" s="100"/>
      <c r="C256" s="100"/>
      <c r="D256" s="100"/>
    </row>
    <row r="257" spans="2:4" s="37" customFormat="1" x14ac:dyDescent="0.35">
      <c r="B257" s="100"/>
      <c r="C257" s="100"/>
      <c r="D257" s="100"/>
    </row>
    <row r="258" spans="2:4" s="37" customFormat="1" x14ac:dyDescent="0.35">
      <c r="B258" s="100"/>
      <c r="C258" s="100"/>
      <c r="D258" s="100"/>
    </row>
    <row r="259" spans="2:4" s="37" customFormat="1" x14ac:dyDescent="0.35">
      <c r="B259" s="100"/>
      <c r="C259" s="100"/>
      <c r="D259" s="100"/>
    </row>
    <row r="260" spans="2:4" s="37" customFormat="1" x14ac:dyDescent="0.35">
      <c r="B260" s="100"/>
      <c r="C260" s="100"/>
      <c r="D260" s="100"/>
    </row>
    <row r="261" spans="2:4" s="37" customFormat="1" x14ac:dyDescent="0.35">
      <c r="B261" s="100"/>
      <c r="C261" s="100"/>
      <c r="D261" s="100"/>
    </row>
    <row r="262" spans="2:4" s="37" customFormat="1" x14ac:dyDescent="0.35">
      <c r="B262" s="100"/>
      <c r="C262" s="100"/>
      <c r="D262" s="100"/>
    </row>
    <row r="263" spans="2:4" s="37" customFormat="1" x14ac:dyDescent="0.35">
      <c r="B263" s="100"/>
      <c r="C263" s="100"/>
      <c r="D263" s="100"/>
    </row>
    <row r="264" spans="2:4" s="37" customFormat="1" x14ac:dyDescent="0.35">
      <c r="B264" s="100"/>
      <c r="C264" s="100"/>
      <c r="D264" s="100"/>
    </row>
    <row r="265" spans="2:4" s="37" customFormat="1" x14ac:dyDescent="0.35">
      <c r="B265" s="100"/>
      <c r="C265" s="100"/>
      <c r="D265" s="100"/>
    </row>
    <row r="266" spans="2:4" s="37" customFormat="1" x14ac:dyDescent="0.35">
      <c r="B266" s="100"/>
      <c r="C266" s="100"/>
      <c r="D266" s="100"/>
    </row>
    <row r="267" spans="2:4" s="37" customFormat="1" x14ac:dyDescent="0.35">
      <c r="B267" s="100"/>
      <c r="C267" s="100"/>
      <c r="D267" s="100"/>
    </row>
    <row r="268" spans="2:4" s="37" customFormat="1" x14ac:dyDescent="0.35">
      <c r="B268" s="100"/>
      <c r="C268" s="100"/>
      <c r="D268" s="100"/>
    </row>
    <row r="269" spans="2:4" s="37" customFormat="1" x14ac:dyDescent="0.35">
      <c r="B269" s="100"/>
      <c r="C269" s="100"/>
      <c r="D269" s="100"/>
    </row>
    <row r="270" spans="2:4" s="37" customFormat="1" x14ac:dyDescent="0.35">
      <c r="B270" s="100"/>
      <c r="C270" s="100"/>
      <c r="D270" s="100"/>
    </row>
    <row r="271" spans="2:4" s="37" customFormat="1" x14ac:dyDescent="0.35">
      <c r="B271" s="100"/>
      <c r="C271" s="100"/>
      <c r="D271" s="100"/>
    </row>
    <row r="272" spans="2:4" s="37" customFormat="1" x14ac:dyDescent="0.35">
      <c r="B272" s="100"/>
      <c r="C272" s="100"/>
      <c r="D272" s="100"/>
    </row>
    <row r="273" spans="2:4" s="37" customFormat="1" x14ac:dyDescent="0.35">
      <c r="B273" s="100"/>
      <c r="C273" s="100"/>
      <c r="D273" s="100"/>
    </row>
    <row r="274" spans="2:4" s="37" customFormat="1" x14ac:dyDescent="0.35">
      <c r="B274" s="100"/>
      <c r="C274" s="100"/>
      <c r="D274" s="100"/>
    </row>
    <row r="275" spans="2:4" s="37" customFormat="1" x14ac:dyDescent="0.35">
      <c r="B275" s="100"/>
      <c r="C275" s="100"/>
      <c r="D275" s="100"/>
    </row>
    <row r="276" spans="2:4" s="37" customFormat="1" x14ac:dyDescent="0.35">
      <c r="B276" s="100"/>
      <c r="C276" s="100"/>
      <c r="D276" s="100"/>
    </row>
  </sheetData>
  <sheetProtection algorithmName="SHA-512" hashValue="BtEnBKofB+UmN6TLfJUa1x1Ur2Je2mNK3/XVxjgg7RQE/wU5rHski2LjWMJHogcjGXXVbdBCUam7KOVT7009lA==" saltValue="jqh/6uvfE5s2zKMnX/l1Tw==" spinCount="100000" sheet="1" formatCells="0"/>
  <dataConsolidate/>
  <mergeCells count="4">
    <mergeCell ref="B18:G18"/>
    <mergeCell ref="T18:Y18"/>
    <mergeCell ref="M18:R18"/>
    <mergeCell ref="Q10:R10"/>
  </mergeCells>
  <phoneticPr fontId="19" type="noConversion"/>
  <dataValidations count="4">
    <dataValidation type="whole" allowBlank="1" showInputMessage="1" showErrorMessage="1" sqref="W20:W26" xr:uid="{80FE7C09-FA09-466F-800F-73E6B0713F56}">
      <formula1>1</formula1>
      <formula2>1E+23</formula2>
    </dataValidation>
    <dataValidation type="whole" allowBlank="1" showInputMessage="1" showErrorMessage="1" sqref="B20:B26" xr:uid="{EBD0A75A-2D73-4F45-A8C3-C4A3315921B6}">
      <formula1>1</formula1>
      <formula2>123</formula2>
    </dataValidation>
    <dataValidation allowBlank="1" showInputMessage="1" showErrorMessage="1" errorTitle="Muncipio" error="Por favor elija una opción de la lista desplegable." sqref="D16:F16" xr:uid="{E39B5C98-7991-4CEC-8BD6-FDEE20C1D404}"/>
    <dataValidation type="decimal" allowBlank="1" showInputMessage="1" showErrorMessage="1" sqref="P20:P26 M20:N26" xr:uid="{DDE33354-4133-4639-9573-154FDE20D174}">
      <formula1>0.00000000000000001</formula1>
      <formula2>1E+22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11</xdr:col>
                <xdr:colOff>679450</xdr:colOff>
                <xdr:row>28</xdr:row>
                <xdr:rowOff>133350</xdr:rowOff>
              </from>
              <to>
                <xdr:col>11</xdr:col>
                <xdr:colOff>1778000</xdr:colOff>
                <xdr:row>30</xdr:row>
                <xdr:rowOff>19050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2" r:id="rId6" name="Spinner 4">
          <controlPr defaultSize="0" autoPict="0" macro="[0]!Controldenúmero10_Cambiar">
            <anchor moveWithCells="1" sizeWithCells="1">
              <from>
                <xdr:col>25</xdr:col>
                <xdr:colOff>88900</xdr:colOff>
                <xdr:row>8</xdr:row>
                <xdr:rowOff>266700</xdr:rowOff>
              </from>
              <to>
                <xdr:col>25</xdr:col>
                <xdr:colOff>495300</xdr:colOff>
                <xdr:row>11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Spinner 5">
          <controlPr locked="0" defaultSize="0" autoPict="0" macro="[0]!Controldenúmero10_Cambiar">
            <anchor moveWithCells="1" sizeWithCells="1">
              <from>
                <xdr:col>17</xdr:col>
                <xdr:colOff>1460500</xdr:colOff>
                <xdr:row>9</xdr:row>
                <xdr:rowOff>114300</xdr:rowOff>
              </from>
              <to>
                <xdr:col>17</xdr:col>
                <xdr:colOff>2165350</xdr:colOff>
                <xdr:row>11</xdr:row>
                <xdr:rowOff>107950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90D5A24-1677-443B-A465-9F3F7D116126}">
          <x14:formula1>
            <xm:f>USO_ANEX_1!$A$2:$A$18</xm:f>
          </x14:formula1>
          <xm:sqref>T20:T26</xm:sqref>
        </x14:dataValidation>
        <x14:dataValidation type="list" allowBlank="1" showInputMessage="1" showErrorMessage="1" xr:uid="{AA8FD8E3-612C-413A-B965-25367518067D}">
          <x14:formula1>
            <xm:f>ZONA_TIPO!$A$14:$A$20</xm:f>
          </x14:formula1>
          <xm:sqref>V21:V26 U20:U26</xm:sqref>
        </x14:dataValidation>
        <x14:dataValidation type="list" allowBlank="1" showInputMessage="1" showErrorMessage="1" xr:uid="{B0D4EEF8-333A-462D-8919-0571FEF70F62}">
          <x14:formula1>
            <xm:f>DESTINACIÓN!$A$1:$A$2</xm:f>
          </x14:formula1>
          <xm:sqref>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77C4-9EBD-48A9-B3C8-C809ABC6DB8A}">
  <sheetPr codeName="Hoja3"/>
  <dimension ref="B11:B14"/>
  <sheetViews>
    <sheetView workbookViewId="0">
      <selection activeCell="I18" sqref="I18"/>
    </sheetView>
  </sheetViews>
  <sheetFormatPr baseColWidth="10" defaultRowHeight="14.5" x14ac:dyDescent="0.35"/>
  <cols>
    <col min="2" max="2" width="13.1796875" bestFit="1" customWidth="1"/>
  </cols>
  <sheetData>
    <row r="11" spans="2:2" x14ac:dyDescent="0.35">
      <c r="B11" s="149"/>
    </row>
    <row r="12" spans="2:2" x14ac:dyDescent="0.35">
      <c r="B12" s="149"/>
    </row>
    <row r="13" spans="2:2" x14ac:dyDescent="0.35">
      <c r="B13" s="149"/>
    </row>
    <row r="14" spans="2:2" x14ac:dyDescent="0.35">
      <c r="B14" s="15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BCEF-9986-4604-84B7-4EC160D65A70}">
  <sheetPr codeName="Hoja16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78C77-8EDC-447C-AA85-74F3C0C43533}">
  <sheetPr codeName="Hoja12"/>
  <dimension ref="A1:B2"/>
  <sheetViews>
    <sheetView workbookViewId="0">
      <selection activeCell="B1" sqref="B1"/>
    </sheetView>
  </sheetViews>
  <sheetFormatPr baseColWidth="10" defaultRowHeight="14.5" x14ac:dyDescent="0.35"/>
  <sheetData>
    <row r="1" spans="1:2" x14ac:dyDescent="0.35">
      <c r="A1" t="s">
        <v>579</v>
      </c>
      <c r="B1">
        <v>2022</v>
      </c>
    </row>
    <row r="2" spans="1:2" x14ac:dyDescent="0.35">
      <c r="B2">
        <v>2023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9A63E-008D-4926-84BD-8B172C3C7A8A}">
  <sheetPr codeName="Hoja10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5524-9BC4-4180-8EE8-7455FC77120A}">
  <sheetPr codeName="Hoja9"/>
  <dimension ref="A1:G14"/>
  <sheetViews>
    <sheetView workbookViewId="0">
      <selection activeCell="C35" sqref="C35"/>
    </sheetView>
  </sheetViews>
  <sheetFormatPr baseColWidth="10" defaultRowHeight="14.5" x14ac:dyDescent="0.35"/>
  <cols>
    <col min="1" max="1" width="31.1796875" bestFit="1" customWidth="1"/>
    <col min="2" max="2" width="17.1796875" customWidth="1"/>
    <col min="3" max="3" width="29.453125" customWidth="1"/>
  </cols>
  <sheetData>
    <row r="1" spans="1:7" x14ac:dyDescent="0.35">
      <c r="G1" s="10"/>
    </row>
    <row r="2" spans="1:7" x14ac:dyDescent="0.35">
      <c r="A2" s="9" t="s">
        <v>556</v>
      </c>
      <c r="B2" s="9" t="s">
        <v>557</v>
      </c>
      <c r="C2" t="s">
        <v>558</v>
      </c>
    </row>
    <row r="3" spans="1:7" x14ac:dyDescent="0.35">
      <c r="A3" s="2" t="s">
        <v>537</v>
      </c>
      <c r="B3">
        <v>5</v>
      </c>
      <c r="C3" t="s">
        <v>559</v>
      </c>
    </row>
    <row r="4" spans="1:7" x14ac:dyDescent="0.35">
      <c r="A4" s="2" t="s">
        <v>535</v>
      </c>
      <c r="B4">
        <v>3</v>
      </c>
      <c r="C4" t="s">
        <v>559</v>
      </c>
    </row>
    <row r="5" spans="1:7" x14ac:dyDescent="0.35">
      <c r="A5" s="2" t="s">
        <v>547</v>
      </c>
      <c r="B5">
        <v>2</v>
      </c>
      <c r="C5" t="s">
        <v>559</v>
      </c>
    </row>
    <row r="6" spans="1:7" x14ac:dyDescent="0.35">
      <c r="A6" s="2" t="s">
        <v>549</v>
      </c>
      <c r="B6">
        <v>2</v>
      </c>
      <c r="C6" t="s">
        <v>559</v>
      </c>
    </row>
    <row r="7" spans="1:7" x14ac:dyDescent="0.35">
      <c r="A7" s="2" t="s">
        <v>539</v>
      </c>
      <c r="B7">
        <v>2</v>
      </c>
      <c r="C7" t="s">
        <v>559</v>
      </c>
    </row>
    <row r="8" spans="1:7" x14ac:dyDescent="0.35">
      <c r="A8" s="2" t="s">
        <v>520</v>
      </c>
      <c r="B8">
        <v>2</v>
      </c>
      <c r="C8" t="s">
        <v>559</v>
      </c>
    </row>
    <row r="9" spans="1:7" x14ac:dyDescent="0.35">
      <c r="A9" s="2" t="s">
        <v>551</v>
      </c>
      <c r="B9">
        <v>2</v>
      </c>
      <c r="C9" t="s">
        <v>559</v>
      </c>
    </row>
    <row r="10" spans="1:7" x14ac:dyDescent="0.35">
      <c r="A10" s="2" t="s">
        <v>543</v>
      </c>
      <c r="B10">
        <v>2</v>
      </c>
      <c r="C10" t="s">
        <v>559</v>
      </c>
    </row>
    <row r="11" spans="1:7" x14ac:dyDescent="0.35">
      <c r="A11" s="2" t="s">
        <v>541</v>
      </c>
      <c r="B11">
        <v>2</v>
      </c>
      <c r="C11" t="s">
        <v>559</v>
      </c>
    </row>
    <row r="12" spans="1:7" x14ac:dyDescent="0.35">
      <c r="A12" s="2" t="s">
        <v>533</v>
      </c>
      <c r="B12">
        <v>2</v>
      </c>
      <c r="C12" t="s">
        <v>559</v>
      </c>
    </row>
    <row r="13" spans="1:7" x14ac:dyDescent="0.35">
      <c r="A13" s="2" t="s">
        <v>545</v>
      </c>
      <c r="B13">
        <v>2</v>
      </c>
      <c r="C13" t="s">
        <v>559</v>
      </c>
    </row>
    <row r="14" spans="1:7" x14ac:dyDescent="0.35">
      <c r="A14" s="2" t="s">
        <v>553</v>
      </c>
      <c r="B14">
        <v>2</v>
      </c>
      <c r="C14" t="s">
        <v>559</v>
      </c>
    </row>
  </sheetData>
  <autoFilter ref="A2:C14" xr:uid="{0DC95524-9BC4-4180-8EE8-7455FC77120A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16CED-8144-41BB-B7B6-126D6124F37A}">
  <sheetPr codeName="Hoja13"/>
  <dimension ref="A1:F203"/>
  <sheetViews>
    <sheetView zoomScale="90" zoomScaleNormal="90" workbookViewId="0">
      <selection activeCell="D2" sqref="D2"/>
    </sheetView>
  </sheetViews>
  <sheetFormatPr baseColWidth="10" defaultRowHeight="14.5" x14ac:dyDescent="0.35"/>
  <cols>
    <col min="1" max="1" width="42.7265625" style="20" customWidth="1"/>
    <col min="2" max="2" width="27.26953125" style="20" customWidth="1"/>
    <col min="3" max="3" width="21.7265625" style="21" bestFit="1" customWidth="1"/>
    <col min="4" max="4" width="19.54296875" style="21" customWidth="1"/>
    <col min="5" max="5" width="35.453125" style="20" customWidth="1"/>
    <col min="6" max="6" width="35.1796875" customWidth="1"/>
  </cols>
  <sheetData>
    <row r="1" spans="1:6" x14ac:dyDescent="0.35">
      <c r="A1" s="15" t="s">
        <v>177</v>
      </c>
      <c r="B1" s="15" t="s">
        <v>178</v>
      </c>
      <c r="C1" s="29" t="s">
        <v>577</v>
      </c>
      <c r="D1" s="16" t="s">
        <v>180</v>
      </c>
      <c r="E1" s="15" t="s">
        <v>177</v>
      </c>
      <c r="F1" t="s">
        <v>565</v>
      </c>
    </row>
    <row r="2" spans="1:6" x14ac:dyDescent="0.35">
      <c r="A2" s="13" t="s">
        <v>527</v>
      </c>
      <c r="B2" s="15" t="s">
        <v>528</v>
      </c>
      <c r="C2" s="23">
        <v>1450000</v>
      </c>
      <c r="D2" s="16" t="s">
        <v>179</v>
      </c>
      <c r="E2" s="15" t="s">
        <v>181</v>
      </c>
      <c r="F2" t="s">
        <v>566</v>
      </c>
    </row>
    <row r="3" spans="1:6" x14ac:dyDescent="0.35">
      <c r="A3" s="13" t="s">
        <v>529</v>
      </c>
      <c r="B3" s="15" t="s">
        <v>530</v>
      </c>
      <c r="C3" s="17">
        <v>1740000</v>
      </c>
      <c r="D3" s="16" t="s">
        <v>179</v>
      </c>
      <c r="E3" s="15" t="s">
        <v>184</v>
      </c>
      <c r="F3" t="s">
        <v>566</v>
      </c>
    </row>
    <row r="4" spans="1:6" x14ac:dyDescent="0.35">
      <c r="A4" s="18" t="s">
        <v>541</v>
      </c>
      <c r="B4" s="22" t="s">
        <v>542</v>
      </c>
      <c r="C4" s="19">
        <v>350000</v>
      </c>
      <c r="D4" s="16" t="s">
        <v>179</v>
      </c>
      <c r="E4" s="15" t="s">
        <v>186</v>
      </c>
      <c r="F4" t="s">
        <v>559</v>
      </c>
    </row>
    <row r="5" spans="1:6" x14ac:dyDescent="0.35">
      <c r="A5" s="18" t="s">
        <v>541</v>
      </c>
      <c r="B5" s="18" t="s">
        <v>542</v>
      </c>
      <c r="C5" s="19">
        <v>210000</v>
      </c>
      <c r="D5" s="16" t="s">
        <v>555</v>
      </c>
      <c r="E5" s="15" t="s">
        <v>188</v>
      </c>
      <c r="F5" t="s">
        <v>559</v>
      </c>
    </row>
    <row r="6" spans="1:6" x14ac:dyDescent="0.35">
      <c r="A6" s="14" t="s">
        <v>547</v>
      </c>
      <c r="B6" s="15" t="s">
        <v>548</v>
      </c>
      <c r="C6" s="19">
        <v>950000</v>
      </c>
      <c r="D6" s="16" t="s">
        <v>179</v>
      </c>
      <c r="E6" s="15" t="s">
        <v>190</v>
      </c>
      <c r="F6" t="s">
        <v>559</v>
      </c>
    </row>
    <row r="7" spans="1:6" x14ac:dyDescent="0.35">
      <c r="A7" s="14" t="s">
        <v>547</v>
      </c>
      <c r="B7" s="18" t="s">
        <v>548</v>
      </c>
      <c r="C7" s="16">
        <v>570000</v>
      </c>
      <c r="D7" s="16" t="s">
        <v>555</v>
      </c>
      <c r="E7" s="15" t="s">
        <v>192</v>
      </c>
      <c r="F7" t="s">
        <v>559</v>
      </c>
    </row>
    <row r="8" spans="1:6" x14ac:dyDescent="0.35">
      <c r="A8" s="14" t="s">
        <v>531</v>
      </c>
      <c r="B8" s="15" t="s">
        <v>532</v>
      </c>
      <c r="C8" s="17">
        <v>1390000</v>
      </c>
      <c r="D8" s="16" t="s">
        <v>179</v>
      </c>
      <c r="E8" s="15" t="s">
        <v>194</v>
      </c>
      <c r="F8" t="s">
        <v>566</v>
      </c>
    </row>
    <row r="9" spans="1:6" x14ac:dyDescent="0.35">
      <c r="A9" s="13" t="s">
        <v>520</v>
      </c>
      <c r="B9" s="15" t="s">
        <v>521</v>
      </c>
      <c r="C9" s="17">
        <v>1575000</v>
      </c>
      <c r="D9" s="16" t="s">
        <v>179</v>
      </c>
      <c r="E9" s="15" t="s">
        <v>196</v>
      </c>
      <c r="F9" t="s">
        <v>559</v>
      </c>
    </row>
    <row r="10" spans="1:6" x14ac:dyDescent="0.35">
      <c r="A10" s="13" t="s">
        <v>520</v>
      </c>
      <c r="B10" s="15" t="s">
        <v>521</v>
      </c>
      <c r="C10" s="17">
        <v>1575000</v>
      </c>
      <c r="D10" s="16" t="s">
        <v>179</v>
      </c>
      <c r="E10" s="15" t="s">
        <v>198</v>
      </c>
      <c r="F10" t="s">
        <v>559</v>
      </c>
    </row>
    <row r="11" spans="1:6" x14ac:dyDescent="0.35">
      <c r="A11" s="13" t="s">
        <v>537</v>
      </c>
      <c r="B11" s="15" t="s">
        <v>538</v>
      </c>
      <c r="C11" s="17">
        <v>1950000</v>
      </c>
      <c r="D11" s="16" t="s">
        <v>179</v>
      </c>
      <c r="E11" s="15" t="s">
        <v>202</v>
      </c>
      <c r="F11" t="s">
        <v>559</v>
      </c>
    </row>
    <row r="12" spans="1:6" x14ac:dyDescent="0.35">
      <c r="A12" s="13" t="s">
        <v>537</v>
      </c>
      <c r="B12" s="15" t="s">
        <v>538</v>
      </c>
      <c r="C12" s="17">
        <v>1950000</v>
      </c>
      <c r="D12" s="16" t="s">
        <v>179</v>
      </c>
      <c r="E12" s="15" t="s">
        <v>204</v>
      </c>
      <c r="F12" t="s">
        <v>559</v>
      </c>
    </row>
    <row r="13" spans="1:6" x14ac:dyDescent="0.35">
      <c r="A13" s="13" t="s">
        <v>537</v>
      </c>
      <c r="B13" s="15" t="s">
        <v>538</v>
      </c>
      <c r="C13" s="17">
        <v>1950000</v>
      </c>
      <c r="D13" s="16" t="s">
        <v>179</v>
      </c>
      <c r="E13" s="15" t="s">
        <v>206</v>
      </c>
      <c r="F13" t="s">
        <v>559</v>
      </c>
    </row>
    <row r="14" spans="1:6" x14ac:dyDescent="0.35">
      <c r="A14" s="13" t="s">
        <v>537</v>
      </c>
      <c r="B14" s="15" t="s">
        <v>538</v>
      </c>
      <c r="C14" s="17">
        <v>1950000</v>
      </c>
      <c r="D14" s="16" t="s">
        <v>179</v>
      </c>
      <c r="E14" s="15" t="s">
        <v>208</v>
      </c>
      <c r="F14" t="s">
        <v>559</v>
      </c>
    </row>
    <row r="15" spans="1:6" x14ac:dyDescent="0.35">
      <c r="A15" s="13" t="s">
        <v>537</v>
      </c>
      <c r="B15" s="15" t="s">
        <v>538</v>
      </c>
      <c r="C15" s="17">
        <v>1950000</v>
      </c>
      <c r="D15" s="16" t="s">
        <v>179</v>
      </c>
      <c r="E15" s="15" t="s">
        <v>210</v>
      </c>
      <c r="F15" t="s">
        <v>559</v>
      </c>
    </row>
    <row r="16" spans="1:6" x14ac:dyDescent="0.35">
      <c r="A16" s="14" t="s">
        <v>545</v>
      </c>
      <c r="B16" s="15" t="s">
        <v>546</v>
      </c>
      <c r="C16" s="19">
        <v>162477</v>
      </c>
      <c r="D16" s="16" t="s">
        <v>179</v>
      </c>
      <c r="E16" s="15" t="s">
        <v>212</v>
      </c>
      <c r="F16" t="s">
        <v>559</v>
      </c>
    </row>
    <row r="17" spans="1:6" x14ac:dyDescent="0.35">
      <c r="A17" s="14" t="s">
        <v>545</v>
      </c>
      <c r="B17" s="18" t="s">
        <v>546</v>
      </c>
      <c r="C17" s="16">
        <v>97486.2</v>
      </c>
      <c r="D17" s="16" t="s">
        <v>555</v>
      </c>
      <c r="E17" s="15" t="s">
        <v>214</v>
      </c>
      <c r="F17" t="s">
        <v>559</v>
      </c>
    </row>
    <row r="18" spans="1:6" x14ac:dyDescent="0.35">
      <c r="A18" s="18" t="s">
        <v>539</v>
      </c>
      <c r="B18" s="15" t="s">
        <v>540</v>
      </c>
      <c r="C18" s="19">
        <v>850000</v>
      </c>
      <c r="D18" s="16" t="s">
        <v>179</v>
      </c>
      <c r="E18" s="15" t="s">
        <v>216</v>
      </c>
      <c r="F18" t="s">
        <v>559</v>
      </c>
    </row>
    <row r="19" spans="1:6" x14ac:dyDescent="0.35">
      <c r="A19" s="18" t="s">
        <v>539</v>
      </c>
      <c r="B19" s="18" t="s">
        <v>540</v>
      </c>
      <c r="C19" s="16">
        <v>510000</v>
      </c>
      <c r="D19" s="16" t="s">
        <v>555</v>
      </c>
      <c r="E19" s="15" t="s">
        <v>218</v>
      </c>
      <c r="F19" t="s">
        <v>559</v>
      </c>
    </row>
    <row r="20" spans="1:6" x14ac:dyDescent="0.35">
      <c r="A20" s="14" t="s">
        <v>549</v>
      </c>
      <c r="B20" s="15" t="s">
        <v>550</v>
      </c>
      <c r="C20" s="19">
        <v>162477</v>
      </c>
      <c r="D20" s="16" t="s">
        <v>179</v>
      </c>
      <c r="E20" s="15" t="s">
        <v>220</v>
      </c>
      <c r="F20" t="s">
        <v>559</v>
      </c>
    </row>
    <row r="21" spans="1:6" x14ac:dyDescent="0.35">
      <c r="A21" s="14" t="s">
        <v>549</v>
      </c>
      <c r="B21" s="18" t="s">
        <v>550</v>
      </c>
      <c r="C21" s="16">
        <v>97486.2</v>
      </c>
      <c r="D21" s="16" t="s">
        <v>555</v>
      </c>
      <c r="E21" s="15" t="s">
        <v>222</v>
      </c>
      <c r="F21" t="s">
        <v>559</v>
      </c>
    </row>
    <row r="22" spans="1:6" x14ac:dyDescent="0.35">
      <c r="A22" s="14" t="s">
        <v>551</v>
      </c>
      <c r="B22" s="15" t="s">
        <v>552</v>
      </c>
      <c r="C22" s="19">
        <v>350000</v>
      </c>
      <c r="D22" s="16" t="s">
        <v>179</v>
      </c>
      <c r="E22" s="15" t="s">
        <v>224</v>
      </c>
      <c r="F22" t="s">
        <v>559</v>
      </c>
    </row>
    <row r="23" spans="1:6" x14ac:dyDescent="0.35">
      <c r="A23" s="14" t="s">
        <v>551</v>
      </c>
      <c r="B23" s="18" t="s">
        <v>552</v>
      </c>
      <c r="C23" s="16">
        <v>210000</v>
      </c>
      <c r="D23" s="16" t="s">
        <v>555</v>
      </c>
      <c r="E23" s="15" t="s">
        <v>226</v>
      </c>
      <c r="F23" t="s">
        <v>559</v>
      </c>
    </row>
    <row r="24" spans="1:6" x14ac:dyDescent="0.35">
      <c r="A24" s="14" t="s">
        <v>543</v>
      </c>
      <c r="B24" s="15" t="s">
        <v>544</v>
      </c>
      <c r="C24" s="19">
        <v>350000</v>
      </c>
      <c r="D24" s="16" t="s">
        <v>179</v>
      </c>
      <c r="E24" s="15" t="s">
        <v>228</v>
      </c>
      <c r="F24" t="s">
        <v>559</v>
      </c>
    </row>
    <row r="25" spans="1:6" x14ac:dyDescent="0.35">
      <c r="A25" s="14" t="s">
        <v>543</v>
      </c>
      <c r="B25" s="18" t="s">
        <v>544</v>
      </c>
      <c r="C25" s="16">
        <v>210000</v>
      </c>
      <c r="D25" s="16" t="s">
        <v>555</v>
      </c>
      <c r="E25" s="15" t="s">
        <v>230</v>
      </c>
      <c r="F25" t="s">
        <v>559</v>
      </c>
    </row>
    <row r="26" spans="1:6" x14ac:dyDescent="0.35">
      <c r="A26" s="15" t="s">
        <v>218</v>
      </c>
      <c r="B26" s="15" t="s">
        <v>219</v>
      </c>
      <c r="C26" s="17">
        <v>3000000</v>
      </c>
      <c r="D26" s="16" t="s">
        <v>183</v>
      </c>
      <c r="E26" s="15" t="s">
        <v>232</v>
      </c>
      <c r="F26" t="s">
        <v>566</v>
      </c>
    </row>
    <row r="27" spans="1:6" x14ac:dyDescent="0.35">
      <c r="A27" s="15" t="s">
        <v>224</v>
      </c>
      <c r="B27" s="15" t="s">
        <v>225</v>
      </c>
      <c r="C27" s="17">
        <v>3200000</v>
      </c>
      <c r="D27" s="16" t="s">
        <v>183</v>
      </c>
      <c r="E27" s="15" t="s">
        <v>234</v>
      </c>
      <c r="F27" t="s">
        <v>566</v>
      </c>
    </row>
    <row r="28" spans="1:6" x14ac:dyDescent="0.35">
      <c r="A28" s="15" t="s">
        <v>230</v>
      </c>
      <c r="B28" s="15" t="s">
        <v>231</v>
      </c>
      <c r="C28" s="17">
        <v>6800000</v>
      </c>
      <c r="D28" s="16" t="s">
        <v>183</v>
      </c>
      <c r="E28" s="15" t="s">
        <v>236</v>
      </c>
      <c r="F28" t="s">
        <v>566</v>
      </c>
    </row>
    <row r="29" spans="1:6" x14ac:dyDescent="0.35">
      <c r="A29" s="15" t="s">
        <v>236</v>
      </c>
      <c r="B29" s="15" t="s">
        <v>237</v>
      </c>
      <c r="C29" s="17">
        <v>6800000</v>
      </c>
      <c r="D29" s="16" t="s">
        <v>183</v>
      </c>
      <c r="E29" s="15" t="s">
        <v>238</v>
      </c>
      <c r="F29" t="s">
        <v>566</v>
      </c>
    </row>
    <row r="30" spans="1:6" x14ac:dyDescent="0.35">
      <c r="A30" s="15" t="s">
        <v>242</v>
      </c>
      <c r="B30" s="15" t="s">
        <v>243</v>
      </c>
      <c r="C30" s="17">
        <v>6800000</v>
      </c>
      <c r="D30" s="16" t="s">
        <v>183</v>
      </c>
      <c r="E30" s="15" t="s">
        <v>240</v>
      </c>
      <c r="F30" t="s">
        <v>566</v>
      </c>
    </row>
    <row r="31" spans="1:6" x14ac:dyDescent="0.35">
      <c r="A31" s="15" t="s">
        <v>246</v>
      </c>
      <c r="B31" s="15" t="s">
        <v>247</v>
      </c>
      <c r="C31" s="17">
        <v>6800000</v>
      </c>
      <c r="D31" s="16" t="s">
        <v>183</v>
      </c>
      <c r="E31" s="15" t="s">
        <v>242</v>
      </c>
      <c r="F31" t="s">
        <v>566</v>
      </c>
    </row>
    <row r="32" spans="1:6" x14ac:dyDescent="0.35">
      <c r="A32" s="15" t="s">
        <v>248</v>
      </c>
      <c r="B32" s="15" t="s">
        <v>249</v>
      </c>
      <c r="C32" s="17">
        <v>6800000</v>
      </c>
      <c r="D32" s="16" t="s">
        <v>183</v>
      </c>
      <c r="E32" s="15" t="s">
        <v>244</v>
      </c>
      <c r="F32" t="s">
        <v>566</v>
      </c>
    </row>
    <row r="33" spans="1:6" x14ac:dyDescent="0.35">
      <c r="A33" s="15" t="s">
        <v>250</v>
      </c>
      <c r="B33" s="15" t="s">
        <v>251</v>
      </c>
      <c r="C33" s="17">
        <v>6800000</v>
      </c>
      <c r="D33" s="16" t="s">
        <v>183</v>
      </c>
      <c r="E33" s="15" t="s">
        <v>246</v>
      </c>
      <c r="F33" t="s">
        <v>566</v>
      </c>
    </row>
    <row r="34" spans="1:6" x14ac:dyDescent="0.35">
      <c r="A34" s="15" t="s">
        <v>252</v>
      </c>
      <c r="B34" s="15" t="s">
        <v>253</v>
      </c>
      <c r="C34" s="17">
        <v>6800000</v>
      </c>
      <c r="D34" s="16" t="s">
        <v>183</v>
      </c>
      <c r="E34" s="15" t="s">
        <v>248</v>
      </c>
      <c r="F34" t="s">
        <v>566</v>
      </c>
    </row>
    <row r="35" spans="1:6" x14ac:dyDescent="0.35">
      <c r="A35" s="15" t="s">
        <v>254</v>
      </c>
      <c r="B35" s="15" t="s">
        <v>255</v>
      </c>
      <c r="C35" s="17">
        <v>6120000</v>
      </c>
      <c r="D35" s="16" t="s">
        <v>183</v>
      </c>
      <c r="E35" s="15" t="s">
        <v>250</v>
      </c>
      <c r="F35" t="s">
        <v>566</v>
      </c>
    </row>
    <row r="36" spans="1:6" x14ac:dyDescent="0.35">
      <c r="A36" s="15" t="s">
        <v>256</v>
      </c>
      <c r="B36" s="15" t="s">
        <v>257</v>
      </c>
      <c r="C36" s="17">
        <v>7140000</v>
      </c>
      <c r="D36" s="16" t="s">
        <v>183</v>
      </c>
      <c r="E36" s="15" t="s">
        <v>252</v>
      </c>
      <c r="F36" t="s">
        <v>566</v>
      </c>
    </row>
    <row r="37" spans="1:6" x14ac:dyDescent="0.35">
      <c r="A37" s="15" t="s">
        <v>258</v>
      </c>
      <c r="B37" s="15" t="s">
        <v>259</v>
      </c>
      <c r="C37" s="17">
        <v>7140000</v>
      </c>
      <c r="D37" s="16" t="s">
        <v>183</v>
      </c>
      <c r="E37" s="15" t="s">
        <v>254</v>
      </c>
      <c r="F37" t="s">
        <v>566</v>
      </c>
    </row>
    <row r="38" spans="1:6" x14ac:dyDescent="0.35">
      <c r="A38" s="15" t="s">
        <v>260</v>
      </c>
      <c r="B38" s="15" t="s">
        <v>261</v>
      </c>
      <c r="C38" s="17">
        <v>8160000</v>
      </c>
      <c r="D38" s="16" t="s">
        <v>183</v>
      </c>
      <c r="E38" s="15" t="s">
        <v>256</v>
      </c>
      <c r="F38" t="s">
        <v>566</v>
      </c>
    </row>
    <row r="39" spans="1:6" x14ac:dyDescent="0.35">
      <c r="A39" s="15" t="s">
        <v>262</v>
      </c>
      <c r="B39" s="15" t="s">
        <v>263</v>
      </c>
      <c r="C39" s="17">
        <v>6800000</v>
      </c>
      <c r="D39" s="16" t="s">
        <v>183</v>
      </c>
      <c r="E39" s="15" t="s">
        <v>258</v>
      </c>
      <c r="F39" t="s">
        <v>566</v>
      </c>
    </row>
    <row r="40" spans="1:6" x14ac:dyDescent="0.35">
      <c r="A40" s="15" t="s">
        <v>264</v>
      </c>
      <c r="B40" s="15" t="s">
        <v>265</v>
      </c>
      <c r="C40" s="17">
        <v>6800000</v>
      </c>
      <c r="D40" s="16" t="s">
        <v>183</v>
      </c>
      <c r="E40" s="15" t="s">
        <v>260</v>
      </c>
      <c r="F40" t="s">
        <v>566</v>
      </c>
    </row>
    <row r="41" spans="1:6" x14ac:dyDescent="0.35">
      <c r="A41" s="15" t="s">
        <v>266</v>
      </c>
      <c r="B41" s="15" t="s">
        <v>267</v>
      </c>
      <c r="C41" s="17">
        <v>6800000</v>
      </c>
      <c r="D41" s="16" t="s">
        <v>183</v>
      </c>
      <c r="E41" s="15" t="s">
        <v>262</v>
      </c>
      <c r="F41" t="s">
        <v>566</v>
      </c>
    </row>
    <row r="42" spans="1:6" x14ac:dyDescent="0.35">
      <c r="A42" s="15" t="s">
        <v>268</v>
      </c>
      <c r="B42" s="15" t="s">
        <v>269</v>
      </c>
      <c r="C42" s="17">
        <v>6800000</v>
      </c>
      <c r="D42" s="16" t="s">
        <v>183</v>
      </c>
      <c r="E42" s="15" t="s">
        <v>264</v>
      </c>
      <c r="F42" t="s">
        <v>566</v>
      </c>
    </row>
    <row r="43" spans="1:6" x14ac:dyDescent="0.35">
      <c r="A43" s="15" t="s">
        <v>270</v>
      </c>
      <c r="B43" s="15" t="s">
        <v>271</v>
      </c>
      <c r="C43" s="17">
        <v>8160000</v>
      </c>
      <c r="D43" s="16" t="s">
        <v>183</v>
      </c>
      <c r="E43" s="15" t="s">
        <v>266</v>
      </c>
      <c r="F43" t="s">
        <v>566</v>
      </c>
    </row>
    <row r="44" spans="1:6" x14ac:dyDescent="0.35">
      <c r="A44" s="15" t="s">
        <v>272</v>
      </c>
      <c r="B44" s="15" t="s">
        <v>273</v>
      </c>
      <c r="C44" s="17">
        <v>8160000</v>
      </c>
      <c r="D44" s="16" t="s">
        <v>183</v>
      </c>
      <c r="E44" s="15" t="s">
        <v>268</v>
      </c>
      <c r="F44" t="s">
        <v>566</v>
      </c>
    </row>
    <row r="45" spans="1:6" x14ac:dyDescent="0.35">
      <c r="A45" s="15" t="s">
        <v>274</v>
      </c>
      <c r="B45" s="15" t="s">
        <v>275</v>
      </c>
      <c r="C45" s="17">
        <v>6460000</v>
      </c>
      <c r="D45" s="16" t="s">
        <v>183</v>
      </c>
      <c r="E45" s="15" t="s">
        <v>270</v>
      </c>
      <c r="F45" t="s">
        <v>566</v>
      </c>
    </row>
    <row r="46" spans="1:6" x14ac:dyDescent="0.35">
      <c r="A46" s="15" t="s">
        <v>276</v>
      </c>
      <c r="B46" s="15" t="s">
        <v>277</v>
      </c>
      <c r="C46" s="17">
        <v>6460000</v>
      </c>
      <c r="D46" s="16" t="s">
        <v>183</v>
      </c>
      <c r="E46" s="15" t="s">
        <v>272</v>
      </c>
      <c r="F46" t="s">
        <v>566</v>
      </c>
    </row>
    <row r="47" spans="1:6" x14ac:dyDescent="0.35">
      <c r="A47" s="15" t="s">
        <v>278</v>
      </c>
      <c r="B47" s="15" t="s">
        <v>279</v>
      </c>
      <c r="C47" s="17">
        <v>5780000</v>
      </c>
      <c r="D47" s="16" t="s">
        <v>183</v>
      </c>
      <c r="E47" s="15" t="s">
        <v>274</v>
      </c>
      <c r="F47" t="s">
        <v>566</v>
      </c>
    </row>
    <row r="48" spans="1:6" x14ac:dyDescent="0.35">
      <c r="A48" s="15" t="s">
        <v>280</v>
      </c>
      <c r="B48" s="15" t="s">
        <v>281</v>
      </c>
      <c r="C48" s="17">
        <v>8160000</v>
      </c>
      <c r="D48" s="16" t="s">
        <v>183</v>
      </c>
      <c r="E48" s="15" t="s">
        <v>276</v>
      </c>
      <c r="F48" t="s">
        <v>566</v>
      </c>
    </row>
    <row r="49" spans="1:6" x14ac:dyDescent="0.35">
      <c r="A49" s="15" t="s">
        <v>282</v>
      </c>
      <c r="B49" s="15" t="s">
        <v>283</v>
      </c>
      <c r="C49" s="17">
        <v>8160000</v>
      </c>
      <c r="D49" s="16" t="s">
        <v>183</v>
      </c>
      <c r="E49" s="15" t="s">
        <v>278</v>
      </c>
      <c r="F49" t="s">
        <v>566</v>
      </c>
    </row>
    <row r="50" spans="1:6" x14ac:dyDescent="0.35">
      <c r="A50" s="15" t="s">
        <v>284</v>
      </c>
      <c r="B50" s="15" t="s">
        <v>285</v>
      </c>
      <c r="C50" s="17">
        <v>6800000</v>
      </c>
      <c r="D50" s="16" t="s">
        <v>183</v>
      </c>
      <c r="E50" s="15" t="s">
        <v>280</v>
      </c>
      <c r="F50" t="s">
        <v>566</v>
      </c>
    </row>
    <row r="51" spans="1:6" x14ac:dyDescent="0.35">
      <c r="A51" s="15" t="s">
        <v>286</v>
      </c>
      <c r="B51" s="15" t="s">
        <v>287</v>
      </c>
      <c r="C51" s="17">
        <v>6800000</v>
      </c>
      <c r="D51" s="16" t="s">
        <v>183</v>
      </c>
      <c r="E51" s="15" t="s">
        <v>282</v>
      </c>
      <c r="F51" t="s">
        <v>566</v>
      </c>
    </row>
    <row r="52" spans="1:6" x14ac:dyDescent="0.35">
      <c r="A52" s="15" t="s">
        <v>288</v>
      </c>
      <c r="B52" s="15" t="s">
        <v>289</v>
      </c>
      <c r="C52" s="17">
        <v>6800000</v>
      </c>
      <c r="D52" s="16" t="s">
        <v>183</v>
      </c>
      <c r="E52" s="15" t="s">
        <v>284</v>
      </c>
      <c r="F52" t="s">
        <v>566</v>
      </c>
    </row>
    <row r="53" spans="1:6" x14ac:dyDescent="0.35">
      <c r="A53" s="15" t="s">
        <v>290</v>
      </c>
      <c r="B53" s="15" t="s">
        <v>291</v>
      </c>
      <c r="C53" s="17">
        <v>6800000</v>
      </c>
      <c r="D53" s="16" t="s">
        <v>183</v>
      </c>
      <c r="E53" s="15" t="s">
        <v>286</v>
      </c>
      <c r="F53" t="s">
        <v>566</v>
      </c>
    </row>
    <row r="54" spans="1:6" x14ac:dyDescent="0.35">
      <c r="A54" s="15" t="s">
        <v>292</v>
      </c>
      <c r="B54" s="15" t="s">
        <v>293</v>
      </c>
      <c r="C54" s="17">
        <v>8160000</v>
      </c>
      <c r="D54" s="16" t="s">
        <v>183</v>
      </c>
      <c r="E54" s="15" t="s">
        <v>288</v>
      </c>
      <c r="F54" t="s">
        <v>566</v>
      </c>
    </row>
    <row r="55" spans="1:6" x14ac:dyDescent="0.35">
      <c r="A55" s="15" t="s">
        <v>294</v>
      </c>
      <c r="B55" s="15" t="s">
        <v>295</v>
      </c>
      <c r="C55" s="17">
        <v>6800000</v>
      </c>
      <c r="D55" s="16" t="s">
        <v>183</v>
      </c>
      <c r="E55" s="15" t="s">
        <v>290</v>
      </c>
      <c r="F55" t="s">
        <v>566</v>
      </c>
    </row>
    <row r="56" spans="1:6" x14ac:dyDescent="0.35">
      <c r="A56" s="15" t="s">
        <v>296</v>
      </c>
      <c r="B56" s="15" t="s">
        <v>297</v>
      </c>
      <c r="C56" s="17">
        <v>6800000</v>
      </c>
      <c r="D56" s="16" t="s">
        <v>183</v>
      </c>
      <c r="E56" s="15" t="s">
        <v>292</v>
      </c>
      <c r="F56" t="s">
        <v>566</v>
      </c>
    </row>
    <row r="57" spans="1:6" x14ac:dyDescent="0.35">
      <c r="A57" s="15" t="s">
        <v>298</v>
      </c>
      <c r="B57" s="15" t="s">
        <v>299</v>
      </c>
      <c r="C57" s="17">
        <v>6800000</v>
      </c>
      <c r="D57" s="16" t="s">
        <v>183</v>
      </c>
      <c r="E57" s="15" t="s">
        <v>294</v>
      </c>
      <c r="F57" t="s">
        <v>566</v>
      </c>
    </row>
    <row r="58" spans="1:6" x14ac:dyDescent="0.35">
      <c r="A58" s="15" t="s">
        <v>300</v>
      </c>
      <c r="B58" s="15" t="s">
        <v>301</v>
      </c>
      <c r="C58" s="17">
        <v>8160000</v>
      </c>
      <c r="D58" s="16" t="s">
        <v>183</v>
      </c>
      <c r="E58" s="15" t="s">
        <v>296</v>
      </c>
      <c r="F58" t="s">
        <v>566</v>
      </c>
    </row>
    <row r="59" spans="1:6" x14ac:dyDescent="0.35">
      <c r="A59" s="15" t="s">
        <v>302</v>
      </c>
      <c r="B59" s="15" t="s">
        <v>303</v>
      </c>
      <c r="C59" s="17">
        <v>8160000</v>
      </c>
      <c r="D59" s="16" t="s">
        <v>183</v>
      </c>
      <c r="E59" s="15" t="s">
        <v>298</v>
      </c>
      <c r="F59" t="s">
        <v>566</v>
      </c>
    </row>
    <row r="60" spans="1:6" x14ac:dyDescent="0.35">
      <c r="A60" s="15" t="s">
        <v>304</v>
      </c>
      <c r="B60" s="15" t="s">
        <v>305</v>
      </c>
      <c r="C60" s="17">
        <v>6800000</v>
      </c>
      <c r="D60" s="16" t="s">
        <v>183</v>
      </c>
      <c r="E60" s="15" t="s">
        <v>300</v>
      </c>
      <c r="F60" t="s">
        <v>566</v>
      </c>
    </row>
    <row r="61" spans="1:6" x14ac:dyDescent="0.35">
      <c r="A61" s="15" t="s">
        <v>306</v>
      </c>
      <c r="B61" s="15" t="s">
        <v>307</v>
      </c>
      <c r="C61" s="17">
        <v>6800000</v>
      </c>
      <c r="D61" s="16" t="s">
        <v>183</v>
      </c>
      <c r="E61" s="15" t="s">
        <v>302</v>
      </c>
      <c r="F61" t="s">
        <v>566</v>
      </c>
    </row>
    <row r="62" spans="1:6" x14ac:dyDescent="0.35">
      <c r="A62" s="15" t="s">
        <v>308</v>
      </c>
      <c r="B62" s="15" t="s">
        <v>309</v>
      </c>
      <c r="C62" s="17">
        <v>5780000</v>
      </c>
      <c r="D62" s="16" t="s">
        <v>183</v>
      </c>
      <c r="E62" s="15" t="s">
        <v>304</v>
      </c>
      <c r="F62" t="s">
        <v>566</v>
      </c>
    </row>
    <row r="63" spans="1:6" x14ac:dyDescent="0.35">
      <c r="A63" s="15" t="s">
        <v>310</v>
      </c>
      <c r="B63" s="15" t="s">
        <v>311</v>
      </c>
      <c r="C63" s="17">
        <v>8160000</v>
      </c>
      <c r="D63" s="16" t="s">
        <v>183</v>
      </c>
      <c r="E63" s="15" t="s">
        <v>306</v>
      </c>
      <c r="F63" t="s">
        <v>566</v>
      </c>
    </row>
    <row r="64" spans="1:6" x14ac:dyDescent="0.35">
      <c r="A64" s="15" t="s">
        <v>312</v>
      </c>
      <c r="B64" s="15" t="s">
        <v>313</v>
      </c>
      <c r="C64" s="17">
        <v>8160000</v>
      </c>
      <c r="D64" s="16" t="s">
        <v>183</v>
      </c>
      <c r="E64" s="15" t="s">
        <v>308</v>
      </c>
      <c r="F64" t="s">
        <v>566</v>
      </c>
    </row>
    <row r="65" spans="1:6" x14ac:dyDescent="0.35">
      <c r="A65" s="15" t="s">
        <v>314</v>
      </c>
      <c r="B65" s="15" t="s">
        <v>315</v>
      </c>
      <c r="C65" s="17">
        <v>5440000</v>
      </c>
      <c r="D65" s="16" t="s">
        <v>183</v>
      </c>
      <c r="E65" s="15" t="s">
        <v>310</v>
      </c>
      <c r="F65" t="s">
        <v>566</v>
      </c>
    </row>
    <row r="66" spans="1:6" x14ac:dyDescent="0.35">
      <c r="A66" s="15" t="s">
        <v>316</v>
      </c>
      <c r="B66" s="15" t="s">
        <v>317</v>
      </c>
      <c r="C66" s="17">
        <v>6460000</v>
      </c>
      <c r="D66" s="16" t="s">
        <v>183</v>
      </c>
      <c r="E66" s="15" t="s">
        <v>312</v>
      </c>
      <c r="F66" t="s">
        <v>566</v>
      </c>
    </row>
    <row r="67" spans="1:6" x14ac:dyDescent="0.35">
      <c r="A67" s="15" t="s">
        <v>318</v>
      </c>
      <c r="B67" s="15" t="s">
        <v>319</v>
      </c>
      <c r="C67" s="17">
        <v>6120000</v>
      </c>
      <c r="D67" s="16" t="s">
        <v>183</v>
      </c>
      <c r="E67" s="15" t="s">
        <v>314</v>
      </c>
      <c r="F67" t="s">
        <v>566</v>
      </c>
    </row>
    <row r="68" spans="1:6" x14ac:dyDescent="0.35">
      <c r="A68" s="15" t="s">
        <v>320</v>
      </c>
      <c r="B68" s="15" t="s">
        <v>321</v>
      </c>
      <c r="C68" s="17">
        <v>6120000</v>
      </c>
      <c r="D68" s="16" t="s">
        <v>183</v>
      </c>
      <c r="E68" s="15" t="s">
        <v>316</v>
      </c>
      <c r="F68" t="s">
        <v>566</v>
      </c>
    </row>
    <row r="69" spans="1:6" x14ac:dyDescent="0.35">
      <c r="A69" s="15" t="s">
        <v>322</v>
      </c>
      <c r="B69" s="15" t="s">
        <v>323</v>
      </c>
      <c r="C69" s="17">
        <v>5780000</v>
      </c>
      <c r="D69" s="16" t="s">
        <v>183</v>
      </c>
      <c r="E69" s="15" t="s">
        <v>318</v>
      </c>
      <c r="F69" t="s">
        <v>566</v>
      </c>
    </row>
    <row r="70" spans="1:6" x14ac:dyDescent="0.35">
      <c r="A70" s="15" t="s">
        <v>324</v>
      </c>
      <c r="B70" s="15" t="s">
        <v>325</v>
      </c>
      <c r="C70" s="17">
        <v>8160000</v>
      </c>
      <c r="D70" s="16" t="s">
        <v>183</v>
      </c>
      <c r="E70" s="15" t="s">
        <v>320</v>
      </c>
      <c r="F70" t="s">
        <v>566</v>
      </c>
    </row>
    <row r="71" spans="1:6" x14ac:dyDescent="0.35">
      <c r="A71" s="15" t="s">
        <v>326</v>
      </c>
      <c r="B71" s="15" t="s">
        <v>327</v>
      </c>
      <c r="C71" s="17">
        <v>8160000</v>
      </c>
      <c r="D71" s="16" t="s">
        <v>183</v>
      </c>
      <c r="E71" s="15" t="s">
        <v>322</v>
      </c>
      <c r="F71" t="s">
        <v>566</v>
      </c>
    </row>
    <row r="72" spans="1:6" x14ac:dyDescent="0.35">
      <c r="A72" s="15" t="s">
        <v>328</v>
      </c>
      <c r="B72" s="15" t="s">
        <v>329</v>
      </c>
      <c r="C72" s="17">
        <v>5780000</v>
      </c>
      <c r="D72" s="16" t="s">
        <v>183</v>
      </c>
      <c r="E72" s="15" t="s">
        <v>324</v>
      </c>
      <c r="F72" t="s">
        <v>566</v>
      </c>
    </row>
    <row r="73" spans="1:6" x14ac:dyDescent="0.35">
      <c r="A73" s="15" t="s">
        <v>330</v>
      </c>
      <c r="B73" s="15" t="s">
        <v>331</v>
      </c>
      <c r="C73" s="17">
        <v>6800000</v>
      </c>
      <c r="D73" s="16" t="s">
        <v>183</v>
      </c>
      <c r="E73" s="15" t="s">
        <v>326</v>
      </c>
      <c r="F73" t="s">
        <v>566</v>
      </c>
    </row>
    <row r="74" spans="1:6" x14ac:dyDescent="0.35">
      <c r="A74" s="15" t="s">
        <v>332</v>
      </c>
      <c r="B74" s="15" t="s">
        <v>333</v>
      </c>
      <c r="C74" s="17">
        <v>6800000</v>
      </c>
      <c r="D74" s="16" t="s">
        <v>183</v>
      </c>
      <c r="E74" s="15" t="s">
        <v>328</v>
      </c>
      <c r="F74" t="s">
        <v>566</v>
      </c>
    </row>
    <row r="75" spans="1:6" x14ac:dyDescent="0.35">
      <c r="A75" s="15" t="s">
        <v>334</v>
      </c>
      <c r="B75" s="15" t="s">
        <v>335</v>
      </c>
      <c r="C75" s="17">
        <v>8160000</v>
      </c>
      <c r="D75" s="16" t="s">
        <v>183</v>
      </c>
      <c r="E75" s="15" t="s">
        <v>330</v>
      </c>
      <c r="F75" t="s">
        <v>566</v>
      </c>
    </row>
    <row r="76" spans="1:6" x14ac:dyDescent="0.35">
      <c r="A76" s="15" t="s">
        <v>336</v>
      </c>
      <c r="B76" s="15" t="s">
        <v>337</v>
      </c>
      <c r="C76" s="17">
        <v>7480000.0000000009</v>
      </c>
      <c r="D76" s="16" t="s">
        <v>183</v>
      </c>
      <c r="E76" s="15" t="s">
        <v>332</v>
      </c>
      <c r="F76" t="s">
        <v>566</v>
      </c>
    </row>
    <row r="77" spans="1:6" x14ac:dyDescent="0.35">
      <c r="A77" s="15" t="s">
        <v>338</v>
      </c>
      <c r="B77" s="15" t="s">
        <v>339</v>
      </c>
      <c r="C77" s="17">
        <v>6800000</v>
      </c>
      <c r="D77" s="16" t="s">
        <v>183</v>
      </c>
      <c r="E77" s="15" t="s">
        <v>334</v>
      </c>
      <c r="F77" t="s">
        <v>566</v>
      </c>
    </row>
    <row r="78" spans="1:6" x14ac:dyDescent="0.35">
      <c r="A78" s="15" t="s">
        <v>340</v>
      </c>
      <c r="B78" s="15" t="s">
        <v>341</v>
      </c>
      <c r="C78" s="17">
        <v>3600000</v>
      </c>
      <c r="D78" s="16" t="s">
        <v>183</v>
      </c>
      <c r="E78" s="15" t="s">
        <v>336</v>
      </c>
      <c r="F78" t="s">
        <v>566</v>
      </c>
    </row>
    <row r="79" spans="1:6" x14ac:dyDescent="0.35">
      <c r="A79" s="15" t="s">
        <v>342</v>
      </c>
      <c r="B79" s="15" t="s">
        <v>343</v>
      </c>
      <c r="C79" s="17">
        <v>6120000</v>
      </c>
      <c r="D79" s="16" t="s">
        <v>183</v>
      </c>
      <c r="E79" s="15" t="s">
        <v>338</v>
      </c>
      <c r="F79" t="s">
        <v>566</v>
      </c>
    </row>
    <row r="80" spans="1:6" x14ac:dyDescent="0.35">
      <c r="A80" s="15" t="s">
        <v>344</v>
      </c>
      <c r="B80" s="15" t="s">
        <v>345</v>
      </c>
      <c r="C80" s="17">
        <v>6460000</v>
      </c>
      <c r="D80" s="16" t="s">
        <v>183</v>
      </c>
      <c r="E80" s="15" t="s">
        <v>340</v>
      </c>
      <c r="F80" t="s">
        <v>566</v>
      </c>
    </row>
    <row r="81" spans="1:6" x14ac:dyDescent="0.35">
      <c r="A81" s="15" t="s">
        <v>346</v>
      </c>
      <c r="B81" s="15" t="s">
        <v>347</v>
      </c>
      <c r="C81" s="17">
        <v>6460000</v>
      </c>
      <c r="D81" s="16" t="s">
        <v>183</v>
      </c>
      <c r="E81" s="15" t="s">
        <v>342</v>
      </c>
      <c r="F81" t="s">
        <v>566</v>
      </c>
    </row>
    <row r="82" spans="1:6" x14ac:dyDescent="0.35">
      <c r="A82" s="15" t="s">
        <v>348</v>
      </c>
      <c r="B82" s="15" t="s">
        <v>349</v>
      </c>
      <c r="C82" s="17">
        <v>6120000</v>
      </c>
      <c r="D82" s="16" t="s">
        <v>183</v>
      </c>
      <c r="E82" s="15" t="s">
        <v>344</v>
      </c>
      <c r="F82" t="s">
        <v>566</v>
      </c>
    </row>
    <row r="83" spans="1:6" x14ac:dyDescent="0.35">
      <c r="A83" s="15" t="s">
        <v>350</v>
      </c>
      <c r="B83" s="15" t="s">
        <v>351</v>
      </c>
      <c r="C83" s="17">
        <v>3740000.0000000005</v>
      </c>
      <c r="D83" s="16" t="s">
        <v>183</v>
      </c>
      <c r="E83" s="15" t="s">
        <v>346</v>
      </c>
      <c r="F83" t="s">
        <v>566</v>
      </c>
    </row>
    <row r="84" spans="1:6" x14ac:dyDescent="0.35">
      <c r="A84" s="15" t="s">
        <v>352</v>
      </c>
      <c r="B84" s="15" t="s">
        <v>353</v>
      </c>
      <c r="C84" s="17">
        <v>8160000</v>
      </c>
      <c r="D84" s="16" t="s">
        <v>183</v>
      </c>
      <c r="E84" s="15" t="s">
        <v>348</v>
      </c>
      <c r="F84" t="s">
        <v>566</v>
      </c>
    </row>
    <row r="85" spans="1:6" x14ac:dyDescent="0.35">
      <c r="A85" s="15" t="s">
        <v>354</v>
      </c>
      <c r="B85" s="15" t="s">
        <v>355</v>
      </c>
      <c r="C85" s="17">
        <v>8160000</v>
      </c>
      <c r="D85" s="16" t="s">
        <v>183</v>
      </c>
      <c r="E85" s="15" t="s">
        <v>350</v>
      </c>
      <c r="F85" t="s">
        <v>566</v>
      </c>
    </row>
    <row r="86" spans="1:6" x14ac:dyDescent="0.35">
      <c r="A86" s="15" t="s">
        <v>356</v>
      </c>
      <c r="B86" s="15" t="s">
        <v>357</v>
      </c>
      <c r="C86" s="17">
        <v>6800000</v>
      </c>
      <c r="D86" s="16" t="s">
        <v>183</v>
      </c>
      <c r="E86" s="15" t="s">
        <v>352</v>
      </c>
      <c r="F86" t="s">
        <v>566</v>
      </c>
    </row>
    <row r="87" spans="1:6" x14ac:dyDescent="0.35">
      <c r="A87" s="15" t="s">
        <v>358</v>
      </c>
      <c r="B87" s="15" t="s">
        <v>359</v>
      </c>
      <c r="C87" s="17">
        <v>6800000</v>
      </c>
      <c r="D87" s="16" t="s">
        <v>183</v>
      </c>
      <c r="E87" s="15" t="s">
        <v>354</v>
      </c>
      <c r="F87" t="s">
        <v>566</v>
      </c>
    </row>
    <row r="88" spans="1:6" x14ac:dyDescent="0.35">
      <c r="A88" s="15" t="s">
        <v>360</v>
      </c>
      <c r="B88" s="15" t="s">
        <v>361</v>
      </c>
      <c r="C88" s="17">
        <v>6800000</v>
      </c>
      <c r="D88" s="16" t="s">
        <v>183</v>
      </c>
      <c r="E88" s="15" t="s">
        <v>356</v>
      </c>
      <c r="F88" t="s">
        <v>566</v>
      </c>
    </row>
    <row r="89" spans="1:6" x14ac:dyDescent="0.35">
      <c r="A89" s="15" t="s">
        <v>362</v>
      </c>
      <c r="B89" s="15" t="s">
        <v>363</v>
      </c>
      <c r="C89" s="17">
        <v>8160000</v>
      </c>
      <c r="D89" s="16" t="s">
        <v>183</v>
      </c>
      <c r="E89" s="15" t="s">
        <v>358</v>
      </c>
      <c r="F89" t="s">
        <v>566</v>
      </c>
    </row>
    <row r="90" spans="1:6" x14ac:dyDescent="0.35">
      <c r="A90" s="15" t="s">
        <v>364</v>
      </c>
      <c r="B90" s="15" t="s">
        <v>365</v>
      </c>
      <c r="C90" s="17">
        <v>8160000</v>
      </c>
      <c r="D90" s="16" t="s">
        <v>183</v>
      </c>
      <c r="E90" s="15" t="s">
        <v>360</v>
      </c>
      <c r="F90" t="s">
        <v>566</v>
      </c>
    </row>
    <row r="91" spans="1:6" x14ac:dyDescent="0.35">
      <c r="A91" s="15" t="s">
        <v>366</v>
      </c>
      <c r="B91" s="15" t="s">
        <v>367</v>
      </c>
      <c r="C91" s="17">
        <v>6800000</v>
      </c>
      <c r="D91" s="16" t="s">
        <v>183</v>
      </c>
      <c r="E91" s="15" t="s">
        <v>362</v>
      </c>
      <c r="F91" t="s">
        <v>566</v>
      </c>
    </row>
    <row r="92" spans="1:6" x14ac:dyDescent="0.35">
      <c r="A92" s="15" t="s">
        <v>368</v>
      </c>
      <c r="B92" s="15" t="s">
        <v>369</v>
      </c>
      <c r="C92" s="17">
        <v>7480000.0000000009</v>
      </c>
      <c r="D92" s="16" t="s">
        <v>183</v>
      </c>
      <c r="E92" s="15" t="s">
        <v>364</v>
      </c>
      <c r="F92" t="s">
        <v>566</v>
      </c>
    </row>
    <row r="93" spans="1:6" x14ac:dyDescent="0.35">
      <c r="A93" s="15" t="s">
        <v>370</v>
      </c>
      <c r="B93" s="15" t="s">
        <v>371</v>
      </c>
      <c r="C93" s="17">
        <v>7140000</v>
      </c>
      <c r="D93" s="16" t="s">
        <v>183</v>
      </c>
      <c r="E93" s="15" t="s">
        <v>366</v>
      </c>
      <c r="F93" t="s">
        <v>566</v>
      </c>
    </row>
    <row r="94" spans="1:6" x14ac:dyDescent="0.35">
      <c r="A94" s="15" t="s">
        <v>372</v>
      </c>
      <c r="B94" s="15" t="s">
        <v>373</v>
      </c>
      <c r="C94" s="17">
        <v>7480000.0000000009</v>
      </c>
      <c r="D94" s="16" t="s">
        <v>183</v>
      </c>
      <c r="E94" s="15" t="s">
        <v>368</v>
      </c>
      <c r="F94" t="s">
        <v>566</v>
      </c>
    </row>
    <row r="95" spans="1:6" x14ac:dyDescent="0.35">
      <c r="A95" s="15" t="s">
        <v>374</v>
      </c>
      <c r="B95" s="15" t="s">
        <v>375</v>
      </c>
      <c r="C95" s="17">
        <v>7480000.0000000009</v>
      </c>
      <c r="D95" s="16" t="s">
        <v>183</v>
      </c>
      <c r="E95" s="15" t="s">
        <v>370</v>
      </c>
      <c r="F95" t="s">
        <v>566</v>
      </c>
    </row>
    <row r="96" spans="1:6" x14ac:dyDescent="0.35">
      <c r="A96" s="15" t="s">
        <v>376</v>
      </c>
      <c r="B96" s="15" t="s">
        <v>377</v>
      </c>
      <c r="C96" s="17">
        <v>7140000</v>
      </c>
      <c r="D96" s="16" t="s">
        <v>183</v>
      </c>
      <c r="E96" s="15" t="s">
        <v>372</v>
      </c>
      <c r="F96" t="s">
        <v>566</v>
      </c>
    </row>
    <row r="97" spans="1:6" x14ac:dyDescent="0.35">
      <c r="A97" s="15" t="s">
        <v>378</v>
      </c>
      <c r="B97" s="15" t="s">
        <v>379</v>
      </c>
      <c r="C97" s="17">
        <v>7140000</v>
      </c>
      <c r="D97" s="16" t="s">
        <v>183</v>
      </c>
      <c r="E97" s="15" t="s">
        <v>374</v>
      </c>
      <c r="F97" t="s">
        <v>566</v>
      </c>
    </row>
    <row r="98" spans="1:6" x14ac:dyDescent="0.35">
      <c r="A98" s="15" t="s">
        <v>380</v>
      </c>
      <c r="B98" s="15" t="s">
        <v>381</v>
      </c>
      <c r="C98" s="17">
        <v>7140000</v>
      </c>
      <c r="D98" s="16" t="s">
        <v>183</v>
      </c>
      <c r="E98" s="15" t="s">
        <v>376</v>
      </c>
      <c r="F98" t="s">
        <v>566</v>
      </c>
    </row>
    <row r="99" spans="1:6" x14ac:dyDescent="0.35">
      <c r="A99" s="15" t="s">
        <v>382</v>
      </c>
      <c r="B99" s="15" t="s">
        <v>383</v>
      </c>
      <c r="C99" s="17">
        <v>6800000</v>
      </c>
      <c r="D99" s="16" t="s">
        <v>183</v>
      </c>
      <c r="E99" s="15" t="s">
        <v>378</v>
      </c>
      <c r="F99" t="s">
        <v>566</v>
      </c>
    </row>
    <row r="100" spans="1:6" x14ac:dyDescent="0.35">
      <c r="A100" s="15" t="s">
        <v>384</v>
      </c>
      <c r="B100" s="15" t="s">
        <v>385</v>
      </c>
      <c r="C100" s="17">
        <v>7480000.0000000009</v>
      </c>
      <c r="D100" s="16" t="s">
        <v>183</v>
      </c>
      <c r="E100" s="15" t="s">
        <v>380</v>
      </c>
      <c r="F100" t="s">
        <v>566</v>
      </c>
    </row>
    <row r="101" spans="1:6" x14ac:dyDescent="0.35">
      <c r="A101" s="15" t="s">
        <v>386</v>
      </c>
      <c r="B101" s="15" t="s">
        <v>387</v>
      </c>
      <c r="C101" s="17">
        <v>7480000.0000000009</v>
      </c>
      <c r="D101" s="16" t="s">
        <v>183</v>
      </c>
      <c r="E101" s="15" t="s">
        <v>382</v>
      </c>
      <c r="F101" t="s">
        <v>566</v>
      </c>
    </row>
    <row r="102" spans="1:6" x14ac:dyDescent="0.35">
      <c r="A102" s="15" t="s">
        <v>388</v>
      </c>
      <c r="B102" s="15" t="s">
        <v>389</v>
      </c>
      <c r="C102" s="17">
        <v>7480000.0000000009</v>
      </c>
      <c r="D102" s="16" t="s">
        <v>183</v>
      </c>
      <c r="E102" s="15" t="s">
        <v>384</v>
      </c>
      <c r="F102" t="s">
        <v>566</v>
      </c>
    </row>
    <row r="103" spans="1:6" x14ac:dyDescent="0.35">
      <c r="A103" s="15" t="s">
        <v>390</v>
      </c>
      <c r="B103" s="15" t="s">
        <v>391</v>
      </c>
      <c r="C103" s="17">
        <v>7480000.0000000009</v>
      </c>
      <c r="D103" s="16" t="s">
        <v>183</v>
      </c>
      <c r="E103" s="15" t="s">
        <v>386</v>
      </c>
      <c r="F103" t="s">
        <v>566</v>
      </c>
    </row>
    <row r="104" spans="1:6" x14ac:dyDescent="0.35">
      <c r="A104" s="15" t="s">
        <v>392</v>
      </c>
      <c r="B104" s="15" t="s">
        <v>393</v>
      </c>
      <c r="C104" s="17">
        <v>7140000</v>
      </c>
      <c r="D104" s="16" t="s">
        <v>183</v>
      </c>
      <c r="E104" s="15" t="s">
        <v>388</v>
      </c>
      <c r="F104" t="s">
        <v>566</v>
      </c>
    </row>
    <row r="105" spans="1:6" x14ac:dyDescent="0.35">
      <c r="A105" s="15" t="s">
        <v>394</v>
      </c>
      <c r="B105" s="15" t="s">
        <v>395</v>
      </c>
      <c r="C105" s="17">
        <v>7140000</v>
      </c>
      <c r="D105" s="16" t="s">
        <v>183</v>
      </c>
      <c r="E105" s="15" t="s">
        <v>390</v>
      </c>
      <c r="F105" t="s">
        <v>566</v>
      </c>
    </row>
    <row r="106" spans="1:6" x14ac:dyDescent="0.35">
      <c r="A106" s="15" t="s">
        <v>396</v>
      </c>
      <c r="B106" s="15" t="s">
        <v>397</v>
      </c>
      <c r="C106" s="17">
        <v>6800000</v>
      </c>
      <c r="D106" s="16" t="s">
        <v>183</v>
      </c>
      <c r="E106" s="15" t="s">
        <v>392</v>
      </c>
      <c r="F106" t="s">
        <v>566</v>
      </c>
    </row>
    <row r="107" spans="1:6" x14ac:dyDescent="0.35">
      <c r="A107" s="15" t="s">
        <v>398</v>
      </c>
      <c r="B107" s="15" t="s">
        <v>399</v>
      </c>
      <c r="C107" s="17">
        <v>8160000</v>
      </c>
      <c r="D107" s="16" t="s">
        <v>183</v>
      </c>
      <c r="E107" s="15" t="s">
        <v>394</v>
      </c>
      <c r="F107" t="s">
        <v>566</v>
      </c>
    </row>
    <row r="108" spans="1:6" x14ac:dyDescent="0.35">
      <c r="A108" s="15" t="s">
        <v>400</v>
      </c>
      <c r="B108" s="15" t="s">
        <v>401</v>
      </c>
      <c r="C108" s="17">
        <v>8160000</v>
      </c>
      <c r="D108" s="16" t="s">
        <v>183</v>
      </c>
      <c r="E108" s="15" t="s">
        <v>396</v>
      </c>
      <c r="F108" t="s">
        <v>566</v>
      </c>
    </row>
    <row r="109" spans="1:6" x14ac:dyDescent="0.35">
      <c r="A109" s="15" t="s">
        <v>402</v>
      </c>
      <c r="B109" s="15" t="s">
        <v>403</v>
      </c>
      <c r="C109" s="17">
        <v>5440000</v>
      </c>
      <c r="D109" s="16" t="s">
        <v>183</v>
      </c>
      <c r="E109" s="15" t="s">
        <v>398</v>
      </c>
      <c r="F109" t="s">
        <v>566</v>
      </c>
    </row>
    <row r="110" spans="1:6" x14ac:dyDescent="0.35">
      <c r="A110" s="15" t="s">
        <v>404</v>
      </c>
      <c r="B110" s="15" t="s">
        <v>405</v>
      </c>
      <c r="C110" s="17">
        <v>7140000</v>
      </c>
      <c r="D110" s="16" t="s">
        <v>183</v>
      </c>
      <c r="E110" s="15" t="s">
        <v>400</v>
      </c>
      <c r="F110" t="s">
        <v>566</v>
      </c>
    </row>
    <row r="111" spans="1:6" x14ac:dyDescent="0.35">
      <c r="A111" s="15" t="s">
        <v>406</v>
      </c>
      <c r="B111" s="15" t="s">
        <v>407</v>
      </c>
      <c r="C111" s="17">
        <v>7140000</v>
      </c>
      <c r="D111" s="16" t="s">
        <v>183</v>
      </c>
      <c r="E111" s="15" t="s">
        <v>402</v>
      </c>
      <c r="F111" t="s">
        <v>566</v>
      </c>
    </row>
    <row r="112" spans="1:6" x14ac:dyDescent="0.35">
      <c r="A112" s="15" t="s">
        <v>408</v>
      </c>
      <c r="B112" s="15" t="s">
        <v>409</v>
      </c>
      <c r="C112" s="17">
        <v>5780000</v>
      </c>
      <c r="D112" s="16" t="s">
        <v>183</v>
      </c>
      <c r="E112" s="15" t="s">
        <v>404</v>
      </c>
      <c r="F112" t="s">
        <v>566</v>
      </c>
    </row>
    <row r="113" spans="1:6" x14ac:dyDescent="0.35">
      <c r="A113" s="15" t="s">
        <v>410</v>
      </c>
      <c r="B113" s="15" t="s">
        <v>411</v>
      </c>
      <c r="C113" s="17">
        <v>6800000</v>
      </c>
      <c r="D113" s="16" t="s">
        <v>183</v>
      </c>
      <c r="E113" s="15" t="s">
        <v>406</v>
      </c>
      <c r="F113" t="s">
        <v>566</v>
      </c>
    </row>
    <row r="114" spans="1:6" x14ac:dyDescent="0.35">
      <c r="A114" s="15" t="s">
        <v>412</v>
      </c>
      <c r="B114" s="15" t="s">
        <v>413</v>
      </c>
      <c r="C114" s="17">
        <v>7140000</v>
      </c>
      <c r="D114" s="16" t="s">
        <v>183</v>
      </c>
      <c r="E114" s="15" t="s">
        <v>408</v>
      </c>
      <c r="F114" t="s">
        <v>566</v>
      </c>
    </row>
    <row r="115" spans="1:6" x14ac:dyDescent="0.35">
      <c r="A115" s="15" t="s">
        <v>414</v>
      </c>
      <c r="B115" s="15" t="s">
        <v>415</v>
      </c>
      <c r="C115" s="17">
        <v>7140000</v>
      </c>
      <c r="D115" s="16" t="s">
        <v>183</v>
      </c>
      <c r="E115" s="15" t="s">
        <v>410</v>
      </c>
      <c r="F115" t="s">
        <v>566</v>
      </c>
    </row>
    <row r="116" spans="1:6" x14ac:dyDescent="0.35">
      <c r="A116" s="15" t="s">
        <v>416</v>
      </c>
      <c r="B116" s="15" t="s">
        <v>417</v>
      </c>
      <c r="C116" s="17">
        <v>6800000</v>
      </c>
      <c r="D116" s="16" t="s">
        <v>183</v>
      </c>
      <c r="E116" s="15" t="s">
        <v>412</v>
      </c>
      <c r="F116" t="s">
        <v>566</v>
      </c>
    </row>
    <row r="117" spans="1:6" x14ac:dyDescent="0.35">
      <c r="A117" s="15" t="s">
        <v>418</v>
      </c>
      <c r="B117" s="15" t="s">
        <v>419</v>
      </c>
      <c r="C117" s="17">
        <v>8160000</v>
      </c>
      <c r="D117" s="16" t="s">
        <v>183</v>
      </c>
      <c r="E117" s="15" t="s">
        <v>414</v>
      </c>
      <c r="F117" t="s">
        <v>566</v>
      </c>
    </row>
    <row r="118" spans="1:6" x14ac:dyDescent="0.35">
      <c r="A118" s="15" t="s">
        <v>420</v>
      </c>
      <c r="B118" s="15" t="s">
        <v>421</v>
      </c>
      <c r="C118" s="17">
        <v>6800000</v>
      </c>
      <c r="D118" s="16" t="s">
        <v>183</v>
      </c>
      <c r="E118" s="15" t="s">
        <v>416</v>
      </c>
      <c r="F118" t="s">
        <v>566</v>
      </c>
    </row>
    <row r="119" spans="1:6" x14ac:dyDescent="0.35">
      <c r="A119" s="15" t="s">
        <v>422</v>
      </c>
      <c r="B119" s="15" t="s">
        <v>423</v>
      </c>
      <c r="C119" s="17">
        <v>6800000</v>
      </c>
      <c r="D119" s="16" t="s">
        <v>183</v>
      </c>
      <c r="E119" s="15" t="s">
        <v>418</v>
      </c>
      <c r="F119" t="s">
        <v>566</v>
      </c>
    </row>
    <row r="120" spans="1:6" x14ac:dyDescent="0.35">
      <c r="A120" s="15" t="s">
        <v>424</v>
      </c>
      <c r="B120" s="15" t="s">
        <v>425</v>
      </c>
      <c r="C120" s="17">
        <v>6460000</v>
      </c>
      <c r="D120" s="16" t="s">
        <v>183</v>
      </c>
      <c r="E120" s="15" t="s">
        <v>420</v>
      </c>
      <c r="F120" t="s">
        <v>566</v>
      </c>
    </row>
    <row r="121" spans="1:6" x14ac:dyDescent="0.35">
      <c r="A121" s="15" t="s">
        <v>426</v>
      </c>
      <c r="B121" s="15" t="s">
        <v>427</v>
      </c>
      <c r="C121" s="17">
        <v>6460000</v>
      </c>
      <c r="D121" s="16" t="s">
        <v>183</v>
      </c>
      <c r="E121" s="15" t="s">
        <v>422</v>
      </c>
      <c r="F121" t="s">
        <v>566</v>
      </c>
    </row>
    <row r="122" spans="1:6" x14ac:dyDescent="0.35">
      <c r="A122" s="15" t="s">
        <v>428</v>
      </c>
      <c r="B122" s="15" t="s">
        <v>429</v>
      </c>
      <c r="C122" s="17">
        <v>6120000</v>
      </c>
      <c r="D122" s="16" t="s">
        <v>183</v>
      </c>
      <c r="E122" s="15" t="s">
        <v>424</v>
      </c>
      <c r="F122" t="s">
        <v>566</v>
      </c>
    </row>
    <row r="123" spans="1:6" x14ac:dyDescent="0.35">
      <c r="A123" s="15" t="s">
        <v>430</v>
      </c>
      <c r="B123" s="15" t="s">
        <v>431</v>
      </c>
      <c r="C123" s="17">
        <v>5780000</v>
      </c>
      <c r="D123" s="16" t="s">
        <v>183</v>
      </c>
      <c r="E123" s="15" t="s">
        <v>426</v>
      </c>
      <c r="F123" t="s">
        <v>566</v>
      </c>
    </row>
    <row r="124" spans="1:6" x14ac:dyDescent="0.35">
      <c r="A124" s="15" t="s">
        <v>432</v>
      </c>
      <c r="B124" s="15" t="s">
        <v>433</v>
      </c>
      <c r="C124" s="17">
        <v>5440000</v>
      </c>
      <c r="D124" s="16" t="s">
        <v>183</v>
      </c>
      <c r="E124" s="15" t="s">
        <v>428</v>
      </c>
      <c r="F124" t="s">
        <v>566</v>
      </c>
    </row>
    <row r="125" spans="1:6" x14ac:dyDescent="0.35">
      <c r="A125" s="15" t="s">
        <v>434</v>
      </c>
      <c r="B125" s="15" t="s">
        <v>435</v>
      </c>
      <c r="C125" s="17">
        <v>5780000</v>
      </c>
      <c r="D125" s="16" t="s">
        <v>183</v>
      </c>
      <c r="E125" s="15" t="s">
        <v>430</v>
      </c>
      <c r="F125" t="s">
        <v>566</v>
      </c>
    </row>
    <row r="126" spans="1:6" x14ac:dyDescent="0.35">
      <c r="A126" s="15" t="s">
        <v>436</v>
      </c>
      <c r="B126" s="15" t="s">
        <v>437</v>
      </c>
      <c r="C126" s="17">
        <v>5440000</v>
      </c>
      <c r="D126" s="16" t="s">
        <v>183</v>
      </c>
      <c r="E126" s="15" t="s">
        <v>432</v>
      </c>
      <c r="F126" t="s">
        <v>566</v>
      </c>
    </row>
    <row r="127" spans="1:6" x14ac:dyDescent="0.35">
      <c r="A127" s="15" t="s">
        <v>438</v>
      </c>
      <c r="B127" s="15" t="s">
        <v>439</v>
      </c>
      <c r="C127" s="17">
        <v>5440000</v>
      </c>
      <c r="D127" s="16" t="s">
        <v>183</v>
      </c>
      <c r="E127" s="15" t="s">
        <v>434</v>
      </c>
      <c r="F127" t="s">
        <v>566</v>
      </c>
    </row>
    <row r="128" spans="1:6" x14ac:dyDescent="0.35">
      <c r="A128" s="15" t="s">
        <v>440</v>
      </c>
      <c r="B128" s="15" t="s">
        <v>441</v>
      </c>
      <c r="C128" s="17">
        <v>5780000</v>
      </c>
      <c r="D128" s="16" t="s">
        <v>183</v>
      </c>
      <c r="E128" s="15" t="s">
        <v>436</v>
      </c>
      <c r="F128" t="s">
        <v>566</v>
      </c>
    </row>
    <row r="129" spans="1:6" x14ac:dyDescent="0.35">
      <c r="A129" s="15" t="s">
        <v>442</v>
      </c>
      <c r="B129" s="15" t="s">
        <v>443</v>
      </c>
      <c r="C129" s="17">
        <v>5780000</v>
      </c>
      <c r="D129" s="16" t="s">
        <v>183</v>
      </c>
      <c r="E129" s="15" t="s">
        <v>438</v>
      </c>
      <c r="F129" t="s">
        <v>566</v>
      </c>
    </row>
    <row r="130" spans="1:6" x14ac:dyDescent="0.35">
      <c r="A130" s="15" t="s">
        <v>444</v>
      </c>
      <c r="B130" s="15" t="s">
        <v>445</v>
      </c>
      <c r="C130" s="90">
        <v>6120000</v>
      </c>
      <c r="D130" s="16" t="s">
        <v>183</v>
      </c>
      <c r="E130" s="15" t="s">
        <v>440</v>
      </c>
      <c r="F130" t="s">
        <v>566</v>
      </c>
    </row>
    <row r="131" spans="1:6" x14ac:dyDescent="0.35">
      <c r="A131" s="15" t="s">
        <v>446</v>
      </c>
      <c r="B131" s="15" t="s">
        <v>447</v>
      </c>
      <c r="C131" s="17">
        <v>6120000</v>
      </c>
      <c r="D131" s="16" t="s">
        <v>183</v>
      </c>
      <c r="E131" s="15" t="s">
        <v>442</v>
      </c>
      <c r="F131" t="s">
        <v>566</v>
      </c>
    </row>
    <row r="132" spans="1:6" x14ac:dyDescent="0.35">
      <c r="A132" s="15" t="s">
        <v>448</v>
      </c>
      <c r="B132" s="15" t="s">
        <v>449</v>
      </c>
      <c r="C132" s="17">
        <v>6460000</v>
      </c>
      <c r="D132" s="16" t="s">
        <v>183</v>
      </c>
      <c r="E132" s="15" t="s">
        <v>444</v>
      </c>
      <c r="F132" t="s">
        <v>566</v>
      </c>
    </row>
    <row r="133" spans="1:6" x14ac:dyDescent="0.35">
      <c r="A133" s="15" t="s">
        <v>450</v>
      </c>
      <c r="B133" s="15" t="s">
        <v>451</v>
      </c>
      <c r="C133" s="17">
        <v>6460000</v>
      </c>
      <c r="D133" s="16" t="s">
        <v>183</v>
      </c>
      <c r="E133" s="15" t="s">
        <v>446</v>
      </c>
      <c r="F133" t="s">
        <v>566</v>
      </c>
    </row>
    <row r="134" spans="1:6" x14ac:dyDescent="0.35">
      <c r="A134" s="15" t="s">
        <v>452</v>
      </c>
      <c r="B134" s="15" t="s">
        <v>453</v>
      </c>
      <c r="C134" s="17">
        <v>6800000</v>
      </c>
      <c r="D134" s="16" t="s">
        <v>183</v>
      </c>
      <c r="E134" s="15" t="s">
        <v>448</v>
      </c>
      <c r="F134" t="s">
        <v>566</v>
      </c>
    </row>
    <row r="135" spans="1:6" x14ac:dyDescent="0.35">
      <c r="A135" s="15" t="s">
        <v>454</v>
      </c>
      <c r="B135" s="15" t="s">
        <v>455</v>
      </c>
      <c r="C135" s="17">
        <v>7140000</v>
      </c>
      <c r="D135" s="16" t="s">
        <v>183</v>
      </c>
      <c r="E135" s="15" t="s">
        <v>450</v>
      </c>
      <c r="F135" t="s">
        <v>566</v>
      </c>
    </row>
    <row r="136" spans="1:6" x14ac:dyDescent="0.35">
      <c r="A136" s="15" t="s">
        <v>456</v>
      </c>
      <c r="B136" s="15" t="s">
        <v>457</v>
      </c>
      <c r="C136" s="17">
        <v>6800000</v>
      </c>
      <c r="D136" s="16" t="s">
        <v>183</v>
      </c>
      <c r="E136" s="15" t="s">
        <v>452</v>
      </c>
      <c r="F136" t="s">
        <v>566</v>
      </c>
    </row>
    <row r="137" spans="1:6" x14ac:dyDescent="0.35">
      <c r="A137" s="15" t="s">
        <v>458</v>
      </c>
      <c r="B137" s="15" t="s">
        <v>459</v>
      </c>
      <c r="C137" s="17">
        <v>6800000</v>
      </c>
      <c r="D137" s="16" t="s">
        <v>183</v>
      </c>
      <c r="E137" s="15" t="s">
        <v>454</v>
      </c>
      <c r="F137" t="s">
        <v>566</v>
      </c>
    </row>
    <row r="138" spans="1:6" x14ac:dyDescent="0.35">
      <c r="A138" s="15" t="s">
        <v>460</v>
      </c>
      <c r="B138" s="15" t="s">
        <v>461</v>
      </c>
      <c r="C138" s="17">
        <v>7140000</v>
      </c>
      <c r="D138" s="16" t="s">
        <v>183</v>
      </c>
      <c r="E138" s="15" t="s">
        <v>456</v>
      </c>
      <c r="F138" t="s">
        <v>566</v>
      </c>
    </row>
    <row r="139" spans="1:6" x14ac:dyDescent="0.35">
      <c r="A139" s="15" t="s">
        <v>462</v>
      </c>
      <c r="B139" s="15" t="s">
        <v>463</v>
      </c>
      <c r="C139" s="17">
        <v>6800000</v>
      </c>
      <c r="D139" s="16" t="s">
        <v>183</v>
      </c>
      <c r="E139" s="15" t="s">
        <v>458</v>
      </c>
      <c r="F139" t="s">
        <v>566</v>
      </c>
    </row>
    <row r="140" spans="1:6" x14ac:dyDescent="0.35">
      <c r="A140" s="15" t="s">
        <v>464</v>
      </c>
      <c r="B140" s="15" t="s">
        <v>465</v>
      </c>
      <c r="C140" s="17">
        <v>6800000</v>
      </c>
      <c r="D140" s="16" t="s">
        <v>183</v>
      </c>
      <c r="E140" s="15" t="s">
        <v>460</v>
      </c>
      <c r="F140" t="s">
        <v>566</v>
      </c>
    </row>
    <row r="141" spans="1:6" x14ac:dyDescent="0.35">
      <c r="A141" s="15" t="s">
        <v>466</v>
      </c>
      <c r="B141" s="15" t="s">
        <v>467</v>
      </c>
      <c r="C141" s="17">
        <v>6800000</v>
      </c>
      <c r="D141" s="16" t="s">
        <v>183</v>
      </c>
      <c r="E141" s="15" t="s">
        <v>462</v>
      </c>
      <c r="F141" t="s">
        <v>566</v>
      </c>
    </row>
    <row r="142" spans="1:6" x14ac:dyDescent="0.35">
      <c r="A142" s="15" t="s">
        <v>468</v>
      </c>
      <c r="B142" s="15" t="s">
        <v>469</v>
      </c>
      <c r="C142" s="17">
        <v>6800000</v>
      </c>
      <c r="D142" s="16" t="s">
        <v>183</v>
      </c>
      <c r="E142" s="15" t="s">
        <v>464</v>
      </c>
      <c r="F142" t="s">
        <v>566</v>
      </c>
    </row>
    <row r="143" spans="1:6" x14ac:dyDescent="0.35">
      <c r="A143" s="15" t="s">
        <v>470</v>
      </c>
      <c r="B143" s="15" t="s">
        <v>471</v>
      </c>
      <c r="C143" s="17">
        <v>6800000</v>
      </c>
      <c r="D143" s="16" t="s">
        <v>183</v>
      </c>
      <c r="E143" s="15" t="s">
        <v>466</v>
      </c>
      <c r="F143" t="s">
        <v>566</v>
      </c>
    </row>
    <row r="144" spans="1:6" x14ac:dyDescent="0.35">
      <c r="A144" s="15" t="s">
        <v>472</v>
      </c>
      <c r="B144" s="15" t="s">
        <v>473</v>
      </c>
      <c r="C144" s="17">
        <v>6460000</v>
      </c>
      <c r="D144" s="16" t="s">
        <v>183</v>
      </c>
      <c r="E144" s="15" t="s">
        <v>468</v>
      </c>
      <c r="F144" t="s">
        <v>566</v>
      </c>
    </row>
    <row r="145" spans="1:6" x14ac:dyDescent="0.35">
      <c r="A145" s="15" t="s">
        <v>474</v>
      </c>
      <c r="B145" s="15" t="s">
        <v>475</v>
      </c>
      <c r="C145" s="17">
        <v>6460000</v>
      </c>
      <c r="D145" s="16" t="s">
        <v>183</v>
      </c>
      <c r="E145" s="15" t="s">
        <v>470</v>
      </c>
      <c r="F145" t="s">
        <v>566</v>
      </c>
    </row>
    <row r="146" spans="1:6" x14ac:dyDescent="0.35">
      <c r="A146" s="15" t="s">
        <v>476</v>
      </c>
      <c r="B146" s="15" t="s">
        <v>477</v>
      </c>
      <c r="C146" s="17">
        <v>6460000</v>
      </c>
      <c r="D146" s="16" t="s">
        <v>183</v>
      </c>
      <c r="E146" s="15" t="s">
        <v>472</v>
      </c>
      <c r="F146" t="s">
        <v>566</v>
      </c>
    </row>
    <row r="147" spans="1:6" x14ac:dyDescent="0.35">
      <c r="A147" s="15" t="s">
        <v>478</v>
      </c>
      <c r="B147" s="15" t="s">
        <v>479</v>
      </c>
      <c r="C147" s="17">
        <v>6460000</v>
      </c>
      <c r="D147" s="16" t="s">
        <v>183</v>
      </c>
      <c r="E147" s="15" t="s">
        <v>474</v>
      </c>
      <c r="F147" t="s">
        <v>566</v>
      </c>
    </row>
    <row r="148" spans="1:6" x14ac:dyDescent="0.35">
      <c r="A148" s="15" t="s">
        <v>480</v>
      </c>
      <c r="B148" s="15" t="s">
        <v>481</v>
      </c>
      <c r="C148" s="17">
        <v>6460000</v>
      </c>
      <c r="D148" s="16" t="s">
        <v>183</v>
      </c>
      <c r="E148" s="15" t="s">
        <v>476</v>
      </c>
      <c r="F148" t="s">
        <v>566</v>
      </c>
    </row>
    <row r="149" spans="1:6" x14ac:dyDescent="0.35">
      <c r="A149" s="15" t="s">
        <v>482</v>
      </c>
      <c r="B149" s="15" t="s">
        <v>483</v>
      </c>
      <c r="C149" s="17">
        <v>6460000</v>
      </c>
      <c r="D149" s="16" t="s">
        <v>183</v>
      </c>
      <c r="E149" s="15" t="s">
        <v>478</v>
      </c>
      <c r="F149" t="s">
        <v>566</v>
      </c>
    </row>
    <row r="150" spans="1:6" x14ac:dyDescent="0.35">
      <c r="A150" s="15" t="s">
        <v>484</v>
      </c>
      <c r="B150" s="15" t="s">
        <v>485</v>
      </c>
      <c r="C150" s="17">
        <v>5440000</v>
      </c>
      <c r="D150" s="16" t="s">
        <v>183</v>
      </c>
      <c r="E150" s="15" t="s">
        <v>480</v>
      </c>
      <c r="F150" t="s">
        <v>566</v>
      </c>
    </row>
    <row r="151" spans="1:6" x14ac:dyDescent="0.35">
      <c r="A151" s="15" t="s">
        <v>486</v>
      </c>
      <c r="B151" s="15" t="s">
        <v>487</v>
      </c>
      <c r="C151" s="17">
        <v>5100000</v>
      </c>
      <c r="D151" s="16" t="s">
        <v>183</v>
      </c>
      <c r="E151" s="15" t="s">
        <v>482</v>
      </c>
      <c r="F151" t="s">
        <v>566</v>
      </c>
    </row>
    <row r="152" spans="1:6" x14ac:dyDescent="0.35">
      <c r="A152" s="15" t="s">
        <v>488</v>
      </c>
      <c r="B152" s="15" t="s">
        <v>489</v>
      </c>
      <c r="C152" s="17">
        <v>5780000</v>
      </c>
      <c r="D152" s="16" t="s">
        <v>183</v>
      </c>
      <c r="E152" s="15" t="s">
        <v>484</v>
      </c>
      <c r="F152" t="s">
        <v>566</v>
      </c>
    </row>
    <row r="153" spans="1:6" x14ac:dyDescent="0.35">
      <c r="A153" s="15" t="s">
        <v>490</v>
      </c>
      <c r="B153" s="15" t="s">
        <v>491</v>
      </c>
      <c r="C153" s="17">
        <v>6120000</v>
      </c>
      <c r="D153" s="16" t="s">
        <v>183</v>
      </c>
      <c r="E153" s="15" t="s">
        <v>486</v>
      </c>
      <c r="F153" t="s">
        <v>566</v>
      </c>
    </row>
    <row r="154" spans="1:6" x14ac:dyDescent="0.35">
      <c r="A154" s="15" t="s">
        <v>492</v>
      </c>
      <c r="B154" s="15" t="s">
        <v>493</v>
      </c>
      <c r="C154" s="17">
        <v>6120000</v>
      </c>
      <c r="D154" s="16" t="s">
        <v>183</v>
      </c>
      <c r="E154" s="15" t="s">
        <v>488</v>
      </c>
      <c r="F154" t="s">
        <v>566</v>
      </c>
    </row>
    <row r="155" spans="1:6" x14ac:dyDescent="0.35">
      <c r="A155" s="15" t="s">
        <v>494</v>
      </c>
      <c r="B155" s="15" t="s">
        <v>495</v>
      </c>
      <c r="C155" s="17">
        <v>6460000</v>
      </c>
      <c r="D155" s="16" t="s">
        <v>183</v>
      </c>
      <c r="E155" s="15" t="s">
        <v>490</v>
      </c>
      <c r="F155" t="s">
        <v>566</v>
      </c>
    </row>
    <row r="156" spans="1:6" x14ac:dyDescent="0.35">
      <c r="A156" s="15" t="s">
        <v>496</v>
      </c>
      <c r="B156" s="15" t="s">
        <v>497</v>
      </c>
      <c r="C156" s="17">
        <v>6460000</v>
      </c>
      <c r="D156" s="16" t="s">
        <v>183</v>
      </c>
      <c r="E156" s="15" t="s">
        <v>492</v>
      </c>
      <c r="F156" t="s">
        <v>566</v>
      </c>
    </row>
    <row r="157" spans="1:6" x14ac:dyDescent="0.35">
      <c r="A157" s="15" t="s">
        <v>498</v>
      </c>
      <c r="B157" s="15" t="s">
        <v>499</v>
      </c>
      <c r="C157" s="17">
        <v>6460000</v>
      </c>
      <c r="D157" s="16" t="s">
        <v>183</v>
      </c>
      <c r="E157" s="15" t="s">
        <v>494</v>
      </c>
      <c r="F157" t="s">
        <v>566</v>
      </c>
    </row>
    <row r="158" spans="1:6" x14ac:dyDescent="0.35">
      <c r="A158" s="15" t="s">
        <v>500</v>
      </c>
      <c r="B158" s="15" t="s">
        <v>501</v>
      </c>
      <c r="C158" s="17">
        <v>6460000</v>
      </c>
      <c r="D158" s="16" t="s">
        <v>183</v>
      </c>
      <c r="E158" s="15" t="s">
        <v>496</v>
      </c>
      <c r="F158" t="s">
        <v>566</v>
      </c>
    </row>
    <row r="159" spans="1:6" x14ac:dyDescent="0.35">
      <c r="A159" s="15" t="s">
        <v>502</v>
      </c>
      <c r="B159" s="15" t="s">
        <v>503</v>
      </c>
      <c r="C159" s="17">
        <v>6800000</v>
      </c>
      <c r="D159" s="16" t="s">
        <v>183</v>
      </c>
      <c r="E159" s="15" t="s">
        <v>498</v>
      </c>
      <c r="F159" t="s">
        <v>566</v>
      </c>
    </row>
    <row r="160" spans="1:6" x14ac:dyDescent="0.35">
      <c r="A160" s="15" t="s">
        <v>504</v>
      </c>
      <c r="B160" s="15" t="s">
        <v>505</v>
      </c>
      <c r="C160" s="17">
        <v>6800000</v>
      </c>
      <c r="D160" s="16" t="s">
        <v>183</v>
      </c>
      <c r="E160" s="15" t="s">
        <v>500</v>
      </c>
      <c r="F160" t="s">
        <v>566</v>
      </c>
    </row>
    <row r="161" spans="1:6" x14ac:dyDescent="0.35">
      <c r="A161" s="15" t="s">
        <v>181</v>
      </c>
      <c r="B161" s="15" t="s">
        <v>182</v>
      </c>
      <c r="C161" s="17">
        <v>7000000</v>
      </c>
      <c r="D161" s="16" t="s">
        <v>183</v>
      </c>
      <c r="E161" s="15" t="s">
        <v>502</v>
      </c>
      <c r="F161" t="s">
        <v>566</v>
      </c>
    </row>
    <row r="162" spans="1:6" x14ac:dyDescent="0.35">
      <c r="A162" s="15" t="s">
        <v>184</v>
      </c>
      <c r="B162" s="15" t="s">
        <v>185</v>
      </c>
      <c r="C162" s="17">
        <v>7000000</v>
      </c>
      <c r="D162" s="16" t="s">
        <v>183</v>
      </c>
      <c r="E162" s="15" t="s">
        <v>504</v>
      </c>
      <c r="F162" t="s">
        <v>566</v>
      </c>
    </row>
    <row r="163" spans="1:6" x14ac:dyDescent="0.35">
      <c r="A163" s="15" t="s">
        <v>186</v>
      </c>
      <c r="B163" s="15" t="s">
        <v>187</v>
      </c>
      <c r="C163" s="17">
        <v>7000000</v>
      </c>
      <c r="D163" s="16" t="s">
        <v>183</v>
      </c>
      <c r="E163" s="15" t="s">
        <v>506</v>
      </c>
      <c r="F163" t="s">
        <v>566</v>
      </c>
    </row>
    <row r="164" spans="1:6" x14ac:dyDescent="0.35">
      <c r="A164" s="15" t="s">
        <v>188</v>
      </c>
      <c r="B164" s="15" t="s">
        <v>189</v>
      </c>
      <c r="C164" s="17">
        <v>7000000</v>
      </c>
      <c r="D164" s="16" t="s">
        <v>183</v>
      </c>
      <c r="E164" s="15" t="s">
        <v>508</v>
      </c>
      <c r="F164" t="s">
        <v>566</v>
      </c>
    </row>
    <row r="165" spans="1:6" x14ac:dyDescent="0.35">
      <c r="A165" s="15" t="s">
        <v>190</v>
      </c>
      <c r="B165" s="15" t="s">
        <v>191</v>
      </c>
      <c r="C165" s="17">
        <v>7000000</v>
      </c>
      <c r="D165" s="16" t="s">
        <v>183</v>
      </c>
      <c r="E165" s="15" t="s">
        <v>510</v>
      </c>
      <c r="F165" t="s">
        <v>566</v>
      </c>
    </row>
    <row r="166" spans="1:6" x14ac:dyDescent="0.35">
      <c r="A166" s="15" t="s">
        <v>192</v>
      </c>
      <c r="B166" s="15" t="s">
        <v>193</v>
      </c>
      <c r="C166" s="17">
        <v>7000000</v>
      </c>
      <c r="D166" s="16" t="s">
        <v>183</v>
      </c>
      <c r="E166" s="15" t="s">
        <v>512</v>
      </c>
      <c r="F166" t="s">
        <v>566</v>
      </c>
    </row>
    <row r="167" spans="1:6" x14ac:dyDescent="0.35">
      <c r="A167" s="15" t="s">
        <v>194</v>
      </c>
      <c r="B167" s="15" t="s">
        <v>195</v>
      </c>
      <c r="C167" s="17">
        <v>7000000</v>
      </c>
      <c r="D167" s="16" t="s">
        <v>183</v>
      </c>
      <c r="E167" s="15" t="s">
        <v>514</v>
      </c>
      <c r="F167" t="s">
        <v>566</v>
      </c>
    </row>
    <row r="168" spans="1:6" x14ac:dyDescent="0.35">
      <c r="A168" s="15" t="s">
        <v>196</v>
      </c>
      <c r="B168" s="15" t="s">
        <v>197</v>
      </c>
      <c r="C168" s="17">
        <v>7000000</v>
      </c>
      <c r="D168" s="16" t="s">
        <v>183</v>
      </c>
      <c r="E168" s="15" t="s">
        <v>516</v>
      </c>
      <c r="F168" t="s">
        <v>566</v>
      </c>
    </row>
    <row r="169" spans="1:6" x14ac:dyDescent="0.35">
      <c r="A169" s="15" t="s">
        <v>198</v>
      </c>
      <c r="B169" s="15" t="s">
        <v>199</v>
      </c>
      <c r="C169" s="17">
        <v>7000000</v>
      </c>
      <c r="D169" s="16" t="s">
        <v>183</v>
      </c>
      <c r="E169" s="15" t="s">
        <v>518</v>
      </c>
      <c r="F169" t="s">
        <v>566</v>
      </c>
    </row>
    <row r="170" spans="1:6" x14ac:dyDescent="0.35">
      <c r="A170" s="15" t="s">
        <v>200</v>
      </c>
      <c r="B170" s="15" t="s">
        <v>201</v>
      </c>
      <c r="C170" s="17">
        <v>7000000</v>
      </c>
      <c r="D170" s="16" t="s">
        <v>183</v>
      </c>
      <c r="E170" s="13" t="s">
        <v>520</v>
      </c>
      <c r="F170" t="s">
        <v>566</v>
      </c>
    </row>
    <row r="171" spans="1:6" x14ac:dyDescent="0.35">
      <c r="A171" s="15" t="s">
        <v>202</v>
      </c>
      <c r="B171" s="15" t="s">
        <v>203</v>
      </c>
      <c r="C171" s="17">
        <v>7000000</v>
      </c>
      <c r="D171" s="16" t="s">
        <v>183</v>
      </c>
      <c r="E171" s="13" t="s">
        <v>522</v>
      </c>
      <c r="F171" t="s">
        <v>566</v>
      </c>
    </row>
    <row r="172" spans="1:6" x14ac:dyDescent="0.35">
      <c r="A172" s="15" t="s">
        <v>204</v>
      </c>
      <c r="B172" s="15" t="s">
        <v>205</v>
      </c>
      <c r="C172" s="17">
        <v>7000000</v>
      </c>
      <c r="D172" s="16" t="s">
        <v>183</v>
      </c>
      <c r="E172" s="13" t="s">
        <v>520</v>
      </c>
      <c r="F172" t="s">
        <v>566</v>
      </c>
    </row>
    <row r="173" spans="1:6" x14ac:dyDescent="0.35">
      <c r="A173" s="15" t="s">
        <v>206</v>
      </c>
      <c r="B173" s="15" t="s">
        <v>207</v>
      </c>
      <c r="C173" s="17">
        <v>6650000</v>
      </c>
      <c r="D173" s="16" t="s">
        <v>183</v>
      </c>
      <c r="E173" s="13" t="s">
        <v>523</v>
      </c>
      <c r="F173" t="s">
        <v>566</v>
      </c>
    </row>
    <row r="174" spans="1:6" x14ac:dyDescent="0.35">
      <c r="A174" s="15" t="s">
        <v>208</v>
      </c>
      <c r="B174" s="15" t="s">
        <v>209</v>
      </c>
      <c r="C174" s="17">
        <v>7000000</v>
      </c>
      <c r="D174" s="16" t="s">
        <v>183</v>
      </c>
      <c r="E174" s="13" t="s">
        <v>525</v>
      </c>
      <c r="F174" t="s">
        <v>566</v>
      </c>
    </row>
    <row r="175" spans="1:6" x14ac:dyDescent="0.35">
      <c r="A175" s="15" t="s">
        <v>210</v>
      </c>
      <c r="B175" s="15" t="s">
        <v>211</v>
      </c>
      <c r="C175" s="17">
        <v>7000000</v>
      </c>
      <c r="D175" s="16" t="s">
        <v>183</v>
      </c>
      <c r="E175" s="13" t="s">
        <v>527</v>
      </c>
      <c r="F175" t="s">
        <v>566</v>
      </c>
    </row>
    <row r="176" spans="1:6" x14ac:dyDescent="0.35">
      <c r="A176" s="15" t="s">
        <v>212</v>
      </c>
      <c r="B176" s="15" t="s">
        <v>213</v>
      </c>
      <c r="C176" s="17">
        <v>7000000</v>
      </c>
      <c r="D176" s="16" t="s">
        <v>183</v>
      </c>
      <c r="E176" s="13" t="s">
        <v>529</v>
      </c>
      <c r="F176" t="s">
        <v>566</v>
      </c>
    </row>
    <row r="177" spans="1:6" x14ac:dyDescent="0.35">
      <c r="A177" s="15" t="s">
        <v>214</v>
      </c>
      <c r="B177" s="15" t="s">
        <v>215</v>
      </c>
      <c r="C177" s="17">
        <v>4550000</v>
      </c>
      <c r="D177" s="16" t="s">
        <v>183</v>
      </c>
      <c r="E177" s="14" t="s">
        <v>531</v>
      </c>
      <c r="F177" t="s">
        <v>566</v>
      </c>
    </row>
    <row r="178" spans="1:6" x14ac:dyDescent="0.35">
      <c r="A178" s="15" t="s">
        <v>216</v>
      </c>
      <c r="B178" s="15" t="s">
        <v>217</v>
      </c>
      <c r="C178" s="17">
        <v>4690000</v>
      </c>
      <c r="D178" s="16" t="s">
        <v>183</v>
      </c>
      <c r="E178" s="13" t="s">
        <v>533</v>
      </c>
      <c r="F178" t="s">
        <v>566</v>
      </c>
    </row>
    <row r="179" spans="1:6" x14ac:dyDescent="0.35">
      <c r="A179" s="15" t="s">
        <v>220</v>
      </c>
      <c r="B179" s="15" t="s">
        <v>221</v>
      </c>
      <c r="C179" s="17">
        <v>8160000</v>
      </c>
      <c r="D179" s="16" t="s">
        <v>183</v>
      </c>
      <c r="E179" s="13" t="s">
        <v>533</v>
      </c>
      <c r="F179" t="s">
        <v>566</v>
      </c>
    </row>
    <row r="180" spans="1:6" x14ac:dyDescent="0.35">
      <c r="A180" s="15" t="s">
        <v>222</v>
      </c>
      <c r="B180" s="15" t="s">
        <v>223</v>
      </c>
      <c r="C180" s="17">
        <v>8160000</v>
      </c>
      <c r="D180" s="16" t="s">
        <v>183</v>
      </c>
      <c r="E180" s="14" t="s">
        <v>535</v>
      </c>
      <c r="F180" t="s">
        <v>566</v>
      </c>
    </row>
    <row r="181" spans="1:6" x14ac:dyDescent="0.35">
      <c r="A181" s="15" t="s">
        <v>226</v>
      </c>
      <c r="B181" s="15" t="s">
        <v>227</v>
      </c>
      <c r="C181" s="17">
        <v>8160000</v>
      </c>
      <c r="D181" s="16" t="s">
        <v>183</v>
      </c>
      <c r="E181" s="13" t="s">
        <v>537</v>
      </c>
      <c r="F181" t="s">
        <v>566</v>
      </c>
    </row>
    <row r="182" spans="1:6" x14ac:dyDescent="0.35">
      <c r="A182" s="15" t="s">
        <v>228</v>
      </c>
      <c r="B182" s="15" t="s">
        <v>229</v>
      </c>
      <c r="C182" s="17">
        <v>8160000</v>
      </c>
      <c r="D182" s="16" t="s">
        <v>183</v>
      </c>
      <c r="E182" s="13" t="s">
        <v>537</v>
      </c>
      <c r="F182" t="s">
        <v>566</v>
      </c>
    </row>
    <row r="183" spans="1:6" x14ac:dyDescent="0.35">
      <c r="A183" s="15" t="s">
        <v>232</v>
      </c>
      <c r="B183" s="15" t="s">
        <v>233</v>
      </c>
      <c r="C183" s="17">
        <v>8160000</v>
      </c>
      <c r="D183" s="16" t="s">
        <v>183</v>
      </c>
      <c r="E183" s="13" t="s">
        <v>537</v>
      </c>
      <c r="F183" t="s">
        <v>566</v>
      </c>
    </row>
    <row r="184" spans="1:6" x14ac:dyDescent="0.35">
      <c r="A184" s="15" t="s">
        <v>234</v>
      </c>
      <c r="B184" s="15" t="s">
        <v>235</v>
      </c>
      <c r="C184" s="17">
        <v>8160000</v>
      </c>
      <c r="D184" s="16" t="s">
        <v>183</v>
      </c>
      <c r="E184" s="13" t="s">
        <v>537</v>
      </c>
      <c r="F184" t="s">
        <v>566</v>
      </c>
    </row>
    <row r="185" spans="1:6" x14ac:dyDescent="0.35">
      <c r="A185" s="15" t="s">
        <v>238</v>
      </c>
      <c r="B185" s="15" t="s">
        <v>239</v>
      </c>
      <c r="C185" s="17">
        <v>8160000</v>
      </c>
      <c r="D185" s="16" t="s">
        <v>183</v>
      </c>
      <c r="E185" s="13" t="s">
        <v>537</v>
      </c>
      <c r="F185" t="s">
        <v>566</v>
      </c>
    </row>
    <row r="186" spans="1:6" x14ac:dyDescent="0.35">
      <c r="A186" s="15" t="s">
        <v>240</v>
      </c>
      <c r="B186" s="15" t="s">
        <v>241</v>
      </c>
      <c r="C186" s="17">
        <v>8160000</v>
      </c>
      <c r="D186" s="16" t="s">
        <v>183</v>
      </c>
      <c r="E186" s="18" t="s">
        <v>539</v>
      </c>
      <c r="F186" t="s">
        <v>566</v>
      </c>
    </row>
    <row r="187" spans="1:6" x14ac:dyDescent="0.35">
      <c r="A187" s="15" t="s">
        <v>244</v>
      </c>
      <c r="B187" s="15" t="s">
        <v>245</v>
      </c>
      <c r="C187" s="17">
        <v>8160000</v>
      </c>
      <c r="D187" s="16" t="s">
        <v>183</v>
      </c>
      <c r="E187" s="18" t="s">
        <v>541</v>
      </c>
      <c r="F187" t="s">
        <v>566</v>
      </c>
    </row>
    <row r="188" spans="1:6" x14ac:dyDescent="0.35">
      <c r="A188" s="15" t="s">
        <v>506</v>
      </c>
      <c r="B188" s="15" t="s">
        <v>507</v>
      </c>
      <c r="C188" s="17">
        <v>5100000</v>
      </c>
      <c r="D188" s="16" t="s">
        <v>183</v>
      </c>
      <c r="E188" s="14" t="s">
        <v>543</v>
      </c>
      <c r="F188" t="s">
        <v>566</v>
      </c>
    </row>
    <row r="189" spans="1:6" x14ac:dyDescent="0.35">
      <c r="A189" s="15" t="s">
        <v>508</v>
      </c>
      <c r="B189" s="15" t="s">
        <v>509</v>
      </c>
      <c r="C189" s="17">
        <v>8160000</v>
      </c>
      <c r="D189" s="16" t="s">
        <v>183</v>
      </c>
      <c r="E189" s="14" t="s">
        <v>545</v>
      </c>
      <c r="F189" t="s">
        <v>566</v>
      </c>
    </row>
    <row r="190" spans="1:6" x14ac:dyDescent="0.35">
      <c r="A190" s="15" t="s">
        <v>510</v>
      </c>
      <c r="B190" s="15" t="s">
        <v>511</v>
      </c>
      <c r="C190" s="17">
        <v>8160000</v>
      </c>
      <c r="D190" s="16" t="s">
        <v>183</v>
      </c>
      <c r="E190" s="14" t="s">
        <v>547</v>
      </c>
      <c r="F190" t="s">
        <v>566</v>
      </c>
    </row>
    <row r="191" spans="1:6" x14ac:dyDescent="0.35">
      <c r="A191" s="15" t="s">
        <v>512</v>
      </c>
      <c r="B191" s="15" t="s">
        <v>513</v>
      </c>
      <c r="C191" s="17">
        <v>5440000</v>
      </c>
      <c r="D191" s="16" t="s">
        <v>183</v>
      </c>
      <c r="E191" s="14" t="s">
        <v>535</v>
      </c>
      <c r="F191" t="s">
        <v>566</v>
      </c>
    </row>
    <row r="192" spans="1:6" x14ac:dyDescent="0.35">
      <c r="A192" s="15" t="s">
        <v>514</v>
      </c>
      <c r="B192" s="15" t="s">
        <v>515</v>
      </c>
      <c r="C192" s="17">
        <v>3740000.0000000005</v>
      </c>
      <c r="D192" s="16" t="s">
        <v>183</v>
      </c>
      <c r="E192" s="14" t="s">
        <v>549</v>
      </c>
      <c r="F192" t="s">
        <v>566</v>
      </c>
    </row>
    <row r="193" spans="1:6" x14ac:dyDescent="0.35">
      <c r="A193" s="15" t="s">
        <v>516</v>
      </c>
      <c r="B193" s="15" t="s">
        <v>517</v>
      </c>
      <c r="C193" s="17">
        <v>3600000</v>
      </c>
      <c r="D193" s="16" t="s">
        <v>183</v>
      </c>
      <c r="E193" s="14" t="s">
        <v>551</v>
      </c>
      <c r="F193" t="s">
        <v>566</v>
      </c>
    </row>
    <row r="194" spans="1:6" x14ac:dyDescent="0.35">
      <c r="A194" s="15" t="s">
        <v>518</v>
      </c>
      <c r="B194" s="15" t="s">
        <v>519</v>
      </c>
      <c r="C194" s="17">
        <v>2500000</v>
      </c>
      <c r="D194" s="16" t="s">
        <v>183</v>
      </c>
      <c r="E194" s="14" t="s">
        <v>553</v>
      </c>
      <c r="F194" t="s">
        <v>566</v>
      </c>
    </row>
    <row r="195" spans="1:6" x14ac:dyDescent="0.35">
      <c r="A195" s="13" t="s">
        <v>525</v>
      </c>
      <c r="B195" s="15" t="s">
        <v>526</v>
      </c>
      <c r="C195" s="17">
        <v>580000</v>
      </c>
      <c r="D195" s="16" t="s">
        <v>179</v>
      </c>
      <c r="E195" s="18" t="s">
        <v>539</v>
      </c>
      <c r="F195" t="s">
        <v>566</v>
      </c>
    </row>
    <row r="196" spans="1:6" x14ac:dyDescent="0.35">
      <c r="A196" s="13" t="s">
        <v>533</v>
      </c>
      <c r="B196" s="15" t="s">
        <v>534</v>
      </c>
      <c r="C196" s="17">
        <v>850000</v>
      </c>
      <c r="D196" s="16" t="s">
        <v>179</v>
      </c>
      <c r="E196" s="18" t="s">
        <v>541</v>
      </c>
      <c r="F196" t="s">
        <v>559</v>
      </c>
    </row>
    <row r="197" spans="1:6" x14ac:dyDescent="0.35">
      <c r="A197" s="13" t="s">
        <v>533</v>
      </c>
      <c r="B197" s="15" t="s">
        <v>534</v>
      </c>
      <c r="C197" s="17">
        <v>1035000</v>
      </c>
      <c r="D197" s="16" t="s">
        <v>179</v>
      </c>
      <c r="E197" s="14" t="s">
        <v>543</v>
      </c>
      <c r="F197" t="s">
        <v>559</v>
      </c>
    </row>
    <row r="198" spans="1:6" x14ac:dyDescent="0.35">
      <c r="A198" s="13" t="s">
        <v>523</v>
      </c>
      <c r="B198" s="15" t="s">
        <v>524</v>
      </c>
      <c r="C198" s="17">
        <v>1035000</v>
      </c>
      <c r="D198" s="16" t="s">
        <v>179</v>
      </c>
      <c r="E198" s="14" t="s">
        <v>545</v>
      </c>
      <c r="F198" t="s">
        <v>566</v>
      </c>
    </row>
    <row r="199" spans="1:6" x14ac:dyDescent="0.35">
      <c r="A199" s="14" t="s">
        <v>535</v>
      </c>
      <c r="B199" s="15" t="s">
        <v>536</v>
      </c>
      <c r="C199" s="17">
        <v>765000</v>
      </c>
      <c r="D199" s="16" t="s">
        <v>179</v>
      </c>
      <c r="E199" s="14" t="s">
        <v>547</v>
      </c>
      <c r="F199" t="s">
        <v>559</v>
      </c>
    </row>
    <row r="200" spans="1:6" x14ac:dyDescent="0.35">
      <c r="A200" s="14" t="s">
        <v>535</v>
      </c>
      <c r="B200" s="15" t="s">
        <v>536</v>
      </c>
      <c r="C200" s="19">
        <v>850000</v>
      </c>
      <c r="D200" s="16" t="s">
        <v>179</v>
      </c>
      <c r="E200" s="14" t="s">
        <v>535</v>
      </c>
      <c r="F200" t="s">
        <v>559</v>
      </c>
    </row>
    <row r="201" spans="1:6" x14ac:dyDescent="0.35">
      <c r="A201" s="14" t="s">
        <v>535</v>
      </c>
      <c r="B201" s="18" t="s">
        <v>536</v>
      </c>
      <c r="C201" s="16">
        <v>510000</v>
      </c>
      <c r="D201" s="16" t="s">
        <v>555</v>
      </c>
      <c r="E201" s="14" t="s">
        <v>549</v>
      </c>
      <c r="F201" t="s">
        <v>559</v>
      </c>
    </row>
    <row r="202" spans="1:6" x14ac:dyDescent="0.35">
      <c r="A202" s="14" t="s">
        <v>553</v>
      </c>
      <c r="B202" s="15" t="s">
        <v>554</v>
      </c>
      <c r="C202" s="19">
        <v>350000</v>
      </c>
      <c r="D202" s="16" t="s">
        <v>179</v>
      </c>
      <c r="E202" s="14" t="s">
        <v>551</v>
      </c>
      <c r="F202" t="s">
        <v>559</v>
      </c>
    </row>
    <row r="203" spans="1:6" x14ac:dyDescent="0.35">
      <c r="A203" s="14" t="s">
        <v>553</v>
      </c>
      <c r="B203" s="18" t="s">
        <v>554</v>
      </c>
      <c r="C203" s="16">
        <v>210000</v>
      </c>
      <c r="D203" s="16" t="s">
        <v>555</v>
      </c>
      <c r="E203" s="14" t="s">
        <v>553</v>
      </c>
      <c r="F203" t="s">
        <v>559</v>
      </c>
    </row>
  </sheetData>
  <autoFilter ref="A1:F203" xr:uid="{8CB4E74F-F8C1-47B4-9C49-4C1369395808}"/>
  <conditionalFormatting sqref="B1:C1">
    <cfRule type="duplicateValues" dxfId="2" priority="2"/>
  </conditionalFormatting>
  <conditionalFormatting sqref="E1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E420E-79E4-485D-8F32-A713A9335A36}">
  <sheetPr codeName="Hoja5"/>
  <dimension ref="A1:A20"/>
  <sheetViews>
    <sheetView workbookViewId="0">
      <selection activeCell="A8" sqref="A8:A12"/>
    </sheetView>
  </sheetViews>
  <sheetFormatPr baseColWidth="10" defaultRowHeight="14.5" x14ac:dyDescent="0.35"/>
  <cols>
    <col min="1" max="1" width="13.1796875" customWidth="1"/>
  </cols>
  <sheetData>
    <row r="1" spans="1:1" x14ac:dyDescent="0.35">
      <c r="A1" t="s">
        <v>2</v>
      </c>
    </row>
    <row r="2" spans="1:1" x14ac:dyDescent="0.35">
      <c r="A2" t="s">
        <v>4</v>
      </c>
    </row>
    <row r="5" spans="1:1" x14ac:dyDescent="0.35">
      <c r="A5" t="s">
        <v>110</v>
      </c>
    </row>
    <row r="6" spans="1:1" x14ac:dyDescent="0.35">
      <c r="A6" t="s">
        <v>109</v>
      </c>
    </row>
    <row r="8" spans="1:1" x14ac:dyDescent="0.35">
      <c r="A8" t="s">
        <v>103</v>
      </c>
    </row>
    <row r="9" spans="1:1" x14ac:dyDescent="0.35">
      <c r="A9" t="s">
        <v>104</v>
      </c>
    </row>
    <row r="10" spans="1:1" x14ac:dyDescent="0.35">
      <c r="A10" t="s">
        <v>3</v>
      </c>
    </row>
    <row r="11" spans="1:1" x14ac:dyDescent="0.35">
      <c r="A11" t="s">
        <v>105</v>
      </c>
    </row>
    <row r="12" spans="1:1" x14ac:dyDescent="0.35">
      <c r="A12" t="s">
        <v>106</v>
      </c>
    </row>
    <row r="14" spans="1:1" x14ac:dyDescent="0.35">
      <c r="A14" s="2">
        <v>10</v>
      </c>
    </row>
    <row r="15" spans="1:1" x14ac:dyDescent="0.35">
      <c r="A15" s="2">
        <v>20</v>
      </c>
    </row>
    <row r="16" spans="1:1" x14ac:dyDescent="0.35">
      <c r="A16" s="2">
        <v>40</v>
      </c>
    </row>
    <row r="17" spans="1:1" x14ac:dyDescent="0.35">
      <c r="A17" s="2">
        <v>50</v>
      </c>
    </row>
    <row r="18" spans="1:1" x14ac:dyDescent="0.35">
      <c r="A18" s="2">
        <v>60</v>
      </c>
    </row>
    <row r="19" spans="1:1" x14ac:dyDescent="0.35">
      <c r="A19" s="2">
        <v>80</v>
      </c>
    </row>
    <row r="20" spans="1:1" x14ac:dyDescent="0.35">
      <c r="A20" s="2">
        <v>90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A700-4C9C-43EF-9613-D3DC60AA7581}">
  <sheetPr codeName="Hoja6"/>
  <dimension ref="A1:A18"/>
  <sheetViews>
    <sheetView workbookViewId="0">
      <selection activeCell="A16" sqref="A16"/>
    </sheetView>
  </sheetViews>
  <sheetFormatPr baseColWidth="10" defaultRowHeight="14.5" x14ac:dyDescent="0.35"/>
  <cols>
    <col min="1" max="1" width="47.26953125" bestFit="1" customWidth="1"/>
  </cols>
  <sheetData>
    <row r="1" spans="1:1" x14ac:dyDescent="0.35">
      <c r="A1" s="9" t="s">
        <v>12</v>
      </c>
    </row>
    <row r="2" spans="1:1" x14ac:dyDescent="0.35">
      <c r="A2" s="2" t="s">
        <v>15</v>
      </c>
    </row>
    <row r="3" spans="1:1" x14ac:dyDescent="0.35">
      <c r="A3" s="2" t="s">
        <v>16</v>
      </c>
    </row>
    <row r="4" spans="1:1" x14ac:dyDescent="0.35">
      <c r="A4" s="2" t="s">
        <v>17</v>
      </c>
    </row>
    <row r="5" spans="1:1" x14ac:dyDescent="0.35">
      <c r="A5" s="2" t="s">
        <v>18</v>
      </c>
    </row>
    <row r="6" spans="1:1" x14ac:dyDescent="0.35">
      <c r="A6" s="2" t="s">
        <v>21</v>
      </c>
    </row>
    <row r="7" spans="1:1" x14ac:dyDescent="0.35">
      <c r="A7" s="2" t="s">
        <v>22</v>
      </c>
    </row>
    <row r="8" spans="1:1" x14ac:dyDescent="0.35">
      <c r="A8" s="2" t="s">
        <v>23</v>
      </c>
    </row>
    <row r="9" spans="1:1" x14ac:dyDescent="0.35">
      <c r="A9" s="2" t="s">
        <v>97</v>
      </c>
    </row>
    <row r="10" spans="1:1" x14ac:dyDescent="0.35">
      <c r="A10" s="2" t="s">
        <v>98</v>
      </c>
    </row>
    <row r="11" spans="1:1" x14ac:dyDescent="0.35">
      <c r="A11" s="2" t="s">
        <v>24</v>
      </c>
    </row>
    <row r="12" spans="1:1" x14ac:dyDescent="0.35">
      <c r="A12" s="2" t="s">
        <v>29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34</v>
      </c>
    </row>
    <row r="16" spans="1:1" x14ac:dyDescent="0.35">
      <c r="A16" s="2" t="s">
        <v>61</v>
      </c>
    </row>
    <row r="17" spans="1:1" x14ac:dyDescent="0.35">
      <c r="A17" s="2" t="s">
        <v>74</v>
      </c>
    </row>
    <row r="18" spans="1:1" x14ac:dyDescent="0.35">
      <c r="A18" s="2" t="s">
        <v>75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496C7-BDCB-4398-8706-79E41E49DC88}">
  <sheetPr codeName="Hoja7" filterMode="1"/>
  <dimension ref="A1:E61"/>
  <sheetViews>
    <sheetView workbookViewId="0"/>
  </sheetViews>
  <sheetFormatPr baseColWidth="10" defaultRowHeight="14.5" x14ac:dyDescent="0.35"/>
  <cols>
    <col min="1" max="1" width="47.26953125" bestFit="1" customWidth="1"/>
    <col min="3" max="3" width="37.1796875" bestFit="1" customWidth="1"/>
    <col min="4" max="4" width="11.81640625" bestFit="1" customWidth="1"/>
    <col min="5" max="5" width="13" bestFit="1" customWidth="1"/>
  </cols>
  <sheetData>
    <row r="1" spans="1:5" x14ac:dyDescent="0.35">
      <c r="A1" s="6" t="s">
        <v>117</v>
      </c>
      <c r="B1" s="6" t="s">
        <v>102</v>
      </c>
      <c r="C1" s="6" t="s">
        <v>120</v>
      </c>
      <c r="D1" s="6" t="s">
        <v>118</v>
      </c>
      <c r="E1" s="6" t="s">
        <v>119</v>
      </c>
    </row>
    <row r="2" spans="1:5" hidden="1" x14ac:dyDescent="0.35">
      <c r="A2" s="1" t="s">
        <v>15</v>
      </c>
      <c r="B2" s="3">
        <v>40</v>
      </c>
      <c r="C2" s="3" t="s">
        <v>121</v>
      </c>
      <c r="D2" s="7">
        <v>93844.415999999997</v>
      </c>
      <c r="E2" s="1">
        <f t="shared" ref="E2:E33" si="0">D2*0.6</f>
        <v>56306.649599999997</v>
      </c>
    </row>
    <row r="3" spans="1:5" hidden="1" x14ac:dyDescent="0.35">
      <c r="A3" s="1" t="s">
        <v>15</v>
      </c>
      <c r="B3" s="3">
        <v>60</v>
      </c>
      <c r="C3" s="3" t="s">
        <v>122</v>
      </c>
      <c r="D3" s="1">
        <v>293054.26855922624</v>
      </c>
      <c r="E3" s="1">
        <f t="shared" si="0"/>
        <v>175832.56113553574</v>
      </c>
    </row>
    <row r="4" spans="1:5" hidden="1" x14ac:dyDescent="0.35">
      <c r="A4" s="1" t="s">
        <v>15</v>
      </c>
      <c r="B4" s="3">
        <v>80</v>
      </c>
      <c r="C4" s="3" t="s">
        <v>123</v>
      </c>
      <c r="D4" s="1">
        <v>457825.56211531215</v>
      </c>
      <c r="E4" s="1">
        <f t="shared" si="0"/>
        <v>274695.33726918726</v>
      </c>
    </row>
    <row r="5" spans="1:5" hidden="1" x14ac:dyDescent="0.35">
      <c r="A5" s="1" t="s">
        <v>15</v>
      </c>
      <c r="B5" s="3">
        <v>90</v>
      </c>
      <c r="C5" s="3" t="s">
        <v>124</v>
      </c>
      <c r="D5" s="1">
        <v>687718.49616882298</v>
      </c>
      <c r="E5" s="1">
        <f t="shared" si="0"/>
        <v>412631.09770129377</v>
      </c>
    </row>
    <row r="6" spans="1:5" hidden="1" x14ac:dyDescent="0.35">
      <c r="A6" s="1" t="s">
        <v>16</v>
      </c>
      <c r="B6" s="3">
        <v>20</v>
      </c>
      <c r="C6" s="3" t="s">
        <v>125</v>
      </c>
      <c r="D6" s="7">
        <v>93083.341868358242</v>
      </c>
      <c r="E6" s="1">
        <f t="shared" si="0"/>
        <v>55850.005121014947</v>
      </c>
    </row>
    <row r="7" spans="1:5" hidden="1" x14ac:dyDescent="0.35">
      <c r="A7" s="1" t="s">
        <v>16</v>
      </c>
      <c r="B7" s="3">
        <v>40</v>
      </c>
      <c r="C7" s="3" t="s">
        <v>126</v>
      </c>
      <c r="D7" s="1">
        <v>131180.74339253863</v>
      </c>
      <c r="E7" s="1">
        <f t="shared" si="0"/>
        <v>78708.446035523171</v>
      </c>
    </row>
    <row r="8" spans="1:5" hidden="1" x14ac:dyDescent="0.35">
      <c r="A8" s="1" t="s">
        <v>16</v>
      </c>
      <c r="B8" s="3">
        <v>60</v>
      </c>
      <c r="C8" s="3" t="s">
        <v>127</v>
      </c>
      <c r="D8" s="1">
        <v>160833.87550672027</v>
      </c>
      <c r="E8" s="1">
        <f t="shared" si="0"/>
        <v>96500.325304032158</v>
      </c>
    </row>
    <row r="9" spans="1:5" hidden="1" x14ac:dyDescent="0.35">
      <c r="A9" s="1" t="s">
        <v>16</v>
      </c>
      <c r="B9" s="3">
        <v>80</v>
      </c>
      <c r="C9" s="3" t="s">
        <v>128</v>
      </c>
      <c r="D9" s="1">
        <v>196378.35837206381</v>
      </c>
      <c r="E9" s="1">
        <f t="shared" si="0"/>
        <v>117827.01502323829</v>
      </c>
    </row>
    <row r="10" spans="1:5" hidden="1" x14ac:dyDescent="0.35">
      <c r="A10" s="1" t="s">
        <v>17</v>
      </c>
      <c r="B10" s="3">
        <v>20</v>
      </c>
      <c r="C10" s="3" t="s">
        <v>129</v>
      </c>
      <c r="D10" s="7">
        <v>113146.23126692628</v>
      </c>
      <c r="E10" s="1">
        <f t="shared" si="0"/>
        <v>67887.738760155757</v>
      </c>
    </row>
    <row r="11" spans="1:5" hidden="1" x14ac:dyDescent="0.35">
      <c r="A11" s="1" t="s">
        <v>17</v>
      </c>
      <c r="B11" s="3">
        <v>40</v>
      </c>
      <c r="C11" s="3" t="s">
        <v>130</v>
      </c>
      <c r="D11" s="1">
        <v>159455.0263424193</v>
      </c>
      <c r="E11" s="1">
        <f t="shared" si="0"/>
        <v>95673.015805451578</v>
      </c>
    </row>
    <row r="12" spans="1:5" hidden="1" x14ac:dyDescent="0.35">
      <c r="A12" s="1" t="s">
        <v>17</v>
      </c>
      <c r="B12" s="3">
        <v>60</v>
      </c>
      <c r="C12" s="3" t="s">
        <v>131</v>
      </c>
      <c r="D12" s="1">
        <v>195499.50085994223</v>
      </c>
      <c r="E12" s="1">
        <f t="shared" si="0"/>
        <v>117299.70051596533</v>
      </c>
    </row>
    <row r="13" spans="1:5" hidden="1" x14ac:dyDescent="0.35">
      <c r="A13" s="1" t="s">
        <v>17</v>
      </c>
      <c r="B13" s="3">
        <v>80</v>
      </c>
      <c r="C13" s="3" t="s">
        <v>132</v>
      </c>
      <c r="D13" s="1">
        <v>238705.12925511872</v>
      </c>
      <c r="E13" s="1">
        <f t="shared" si="0"/>
        <v>143223.07755307123</v>
      </c>
    </row>
    <row r="14" spans="1:5" hidden="1" x14ac:dyDescent="0.35">
      <c r="A14" s="1" t="s">
        <v>18</v>
      </c>
      <c r="B14" s="3">
        <v>20</v>
      </c>
      <c r="C14" s="3" t="s">
        <v>133</v>
      </c>
      <c r="D14" s="7">
        <v>167796.78253762092</v>
      </c>
      <c r="E14" s="1">
        <f t="shared" si="0"/>
        <v>100678.06952257255</v>
      </c>
    </row>
    <row r="15" spans="1:5" hidden="1" x14ac:dyDescent="0.35">
      <c r="A15" s="1" t="s">
        <v>18</v>
      </c>
      <c r="B15" s="3">
        <v>40</v>
      </c>
      <c r="C15" s="3" t="s">
        <v>134</v>
      </c>
      <c r="D15" s="1">
        <v>236473.10281673158</v>
      </c>
      <c r="E15" s="1">
        <f t="shared" si="0"/>
        <v>141883.86169003893</v>
      </c>
    </row>
    <row r="16" spans="1:5" hidden="1" x14ac:dyDescent="0.35">
      <c r="A16" s="1" t="s">
        <v>18</v>
      </c>
      <c r="B16" s="3">
        <v>60</v>
      </c>
      <c r="C16" s="3" t="s">
        <v>135</v>
      </c>
      <c r="D16" s="1">
        <v>289927.35210614244</v>
      </c>
      <c r="E16" s="1">
        <f t="shared" si="0"/>
        <v>173956.41126368547</v>
      </c>
    </row>
    <row r="17" spans="1:5" hidden="1" x14ac:dyDescent="0.35">
      <c r="A17" s="1" t="s">
        <v>18</v>
      </c>
      <c r="B17" s="3">
        <v>80</v>
      </c>
      <c r="C17" s="3" t="s">
        <v>136</v>
      </c>
      <c r="D17" s="1">
        <v>354001.65092325088</v>
      </c>
      <c r="E17" s="1">
        <f t="shared" si="0"/>
        <v>212400.99055395051</v>
      </c>
    </row>
    <row r="18" spans="1:5" x14ac:dyDescent="0.35">
      <c r="A18" s="1" t="s">
        <v>21</v>
      </c>
      <c r="B18" s="3">
        <v>60</v>
      </c>
      <c r="C18" s="3" t="s">
        <v>137</v>
      </c>
      <c r="D18" s="1">
        <v>2935448.7587771639</v>
      </c>
      <c r="E18" s="1">
        <f t="shared" si="0"/>
        <v>1761269.2552662983</v>
      </c>
    </row>
    <row r="19" spans="1:5" x14ac:dyDescent="0.35">
      <c r="A19" s="1" t="s">
        <v>21</v>
      </c>
      <c r="B19" s="3">
        <v>80</v>
      </c>
      <c r="C19" s="3" t="s">
        <v>138</v>
      </c>
      <c r="D19" s="1">
        <v>3584186.5186534356</v>
      </c>
      <c r="E19" s="1">
        <f t="shared" si="0"/>
        <v>2150511.9111920614</v>
      </c>
    </row>
    <row r="20" spans="1:5" hidden="1" x14ac:dyDescent="0.35">
      <c r="A20" s="1" t="s">
        <v>22</v>
      </c>
      <c r="B20" s="3">
        <v>40</v>
      </c>
      <c r="C20" s="3" t="s">
        <v>139</v>
      </c>
      <c r="D20" s="7">
        <v>480000</v>
      </c>
      <c r="E20" s="1">
        <f t="shared" si="0"/>
        <v>288000</v>
      </c>
    </row>
    <row r="21" spans="1:5" hidden="1" x14ac:dyDescent="0.35">
      <c r="A21" s="1" t="s">
        <v>22</v>
      </c>
      <c r="B21" s="3">
        <v>50</v>
      </c>
      <c r="C21" s="3" t="s">
        <v>140</v>
      </c>
      <c r="D21" s="7">
        <v>650000</v>
      </c>
      <c r="E21" s="1">
        <f t="shared" si="0"/>
        <v>390000</v>
      </c>
    </row>
    <row r="22" spans="1:5" hidden="1" x14ac:dyDescent="0.35">
      <c r="A22" s="1" t="s">
        <v>22</v>
      </c>
      <c r="B22" s="3">
        <v>60</v>
      </c>
      <c r="C22" s="3" t="s">
        <v>141</v>
      </c>
      <c r="D22" s="7">
        <v>850000</v>
      </c>
      <c r="E22" s="1">
        <f t="shared" si="0"/>
        <v>510000</v>
      </c>
    </row>
    <row r="23" spans="1:5" hidden="1" x14ac:dyDescent="0.35">
      <c r="A23" s="1" t="s">
        <v>22</v>
      </c>
      <c r="B23" s="3">
        <v>80</v>
      </c>
      <c r="C23" s="3" t="s">
        <v>142</v>
      </c>
      <c r="D23" s="7">
        <v>1050000</v>
      </c>
      <c r="E23" s="1">
        <f t="shared" si="0"/>
        <v>630000</v>
      </c>
    </row>
    <row r="24" spans="1:5" hidden="1" x14ac:dyDescent="0.35">
      <c r="A24" s="1" t="s">
        <v>23</v>
      </c>
      <c r="B24" s="3">
        <v>20</v>
      </c>
      <c r="C24" s="3" t="s">
        <v>143</v>
      </c>
      <c r="D24" s="7">
        <v>513791.4534566009</v>
      </c>
      <c r="E24" s="1">
        <f t="shared" si="0"/>
        <v>308274.87207396055</v>
      </c>
    </row>
    <row r="25" spans="1:5" hidden="1" x14ac:dyDescent="0.35">
      <c r="A25" s="1" t="s">
        <v>23</v>
      </c>
      <c r="B25" s="3">
        <v>40</v>
      </c>
      <c r="C25" s="3" t="s">
        <v>144</v>
      </c>
      <c r="D25" s="1">
        <v>724077.40698103257</v>
      </c>
      <c r="E25" s="1">
        <f t="shared" si="0"/>
        <v>434446.44418861956</v>
      </c>
    </row>
    <row r="26" spans="1:5" hidden="1" x14ac:dyDescent="0.35">
      <c r="A26" s="1" t="s">
        <v>23</v>
      </c>
      <c r="B26" s="3">
        <v>60</v>
      </c>
      <c r="C26" s="3" t="s">
        <v>145</v>
      </c>
      <c r="D26" s="1">
        <v>887753.58730159537</v>
      </c>
      <c r="E26" s="1">
        <f t="shared" si="0"/>
        <v>532652.15238095715</v>
      </c>
    </row>
    <row r="27" spans="1:5" hidden="1" x14ac:dyDescent="0.35">
      <c r="A27" s="1" t="s">
        <v>23</v>
      </c>
      <c r="B27" s="3">
        <v>80</v>
      </c>
      <c r="C27" s="3" t="s">
        <v>146</v>
      </c>
      <c r="D27" s="1">
        <v>1083948.214043462</v>
      </c>
      <c r="E27" s="1">
        <f t="shared" si="0"/>
        <v>650368.92842607712</v>
      </c>
    </row>
    <row r="28" spans="1:5" hidden="1" x14ac:dyDescent="0.35">
      <c r="A28" s="1" t="s">
        <v>97</v>
      </c>
      <c r="B28" s="3">
        <v>40</v>
      </c>
      <c r="C28" s="3" t="s">
        <v>147</v>
      </c>
      <c r="D28" s="1">
        <v>133668</v>
      </c>
      <c r="E28" s="1">
        <f t="shared" si="0"/>
        <v>80200.800000000003</v>
      </c>
    </row>
    <row r="29" spans="1:5" hidden="1" x14ac:dyDescent="0.35">
      <c r="A29" s="1" t="s">
        <v>97</v>
      </c>
      <c r="B29" s="3">
        <v>60</v>
      </c>
      <c r="C29" s="3" t="s">
        <v>148</v>
      </c>
      <c r="D29" s="1">
        <v>188376</v>
      </c>
      <c r="E29" s="1">
        <f t="shared" si="0"/>
        <v>113025.59999999999</v>
      </c>
    </row>
    <row r="30" spans="1:5" hidden="1" x14ac:dyDescent="0.35">
      <c r="A30" s="1" t="s">
        <v>97</v>
      </c>
      <c r="B30" s="3">
        <v>80</v>
      </c>
      <c r="C30" s="3" t="s">
        <v>149</v>
      </c>
      <c r="D30" s="1">
        <v>282000</v>
      </c>
      <c r="E30" s="1">
        <f t="shared" si="0"/>
        <v>169200</v>
      </c>
    </row>
    <row r="31" spans="1:5" hidden="1" x14ac:dyDescent="0.35">
      <c r="A31" s="1" t="s">
        <v>98</v>
      </c>
      <c r="B31" s="3">
        <v>20</v>
      </c>
      <c r="C31" s="3" t="s">
        <v>150</v>
      </c>
      <c r="D31" s="7">
        <v>167796.78253762092</v>
      </c>
      <c r="E31" s="1">
        <f t="shared" si="0"/>
        <v>100678.06952257255</v>
      </c>
    </row>
    <row r="32" spans="1:5" hidden="1" x14ac:dyDescent="0.35">
      <c r="A32" s="1" t="s">
        <v>98</v>
      </c>
      <c r="B32" s="3">
        <v>40</v>
      </c>
      <c r="C32" s="3" t="s">
        <v>151</v>
      </c>
      <c r="D32" s="1">
        <v>236473.10281673158</v>
      </c>
      <c r="E32" s="1">
        <f t="shared" si="0"/>
        <v>141883.86169003893</v>
      </c>
    </row>
    <row r="33" spans="1:5" hidden="1" x14ac:dyDescent="0.35">
      <c r="A33" s="1" t="s">
        <v>98</v>
      </c>
      <c r="B33" s="3">
        <v>60</v>
      </c>
      <c r="C33" s="3" t="s">
        <v>152</v>
      </c>
      <c r="D33" s="1">
        <v>289927.35210614244</v>
      </c>
      <c r="E33" s="1">
        <f t="shared" si="0"/>
        <v>173956.41126368547</v>
      </c>
    </row>
    <row r="34" spans="1:5" hidden="1" x14ac:dyDescent="0.35">
      <c r="A34" s="1" t="s">
        <v>98</v>
      </c>
      <c r="B34" s="3">
        <v>80</v>
      </c>
      <c r="C34" s="3" t="s">
        <v>153</v>
      </c>
      <c r="D34" s="1">
        <v>354001.65092325088</v>
      </c>
      <c r="E34" s="1">
        <f t="shared" ref="E34:E61" si="1">D34*0.6</f>
        <v>212400.99055395051</v>
      </c>
    </row>
    <row r="35" spans="1:5" hidden="1" x14ac:dyDescent="0.35">
      <c r="A35" s="1" t="s">
        <v>24</v>
      </c>
      <c r="B35" s="3">
        <v>40</v>
      </c>
      <c r="C35" s="3" t="s">
        <v>154</v>
      </c>
      <c r="D35" s="1">
        <v>143813.022</v>
      </c>
      <c r="E35" s="1">
        <f t="shared" si="1"/>
        <v>86287.81319999999</v>
      </c>
    </row>
    <row r="36" spans="1:5" hidden="1" x14ac:dyDescent="0.35">
      <c r="A36" s="1" t="s">
        <v>24</v>
      </c>
      <c r="B36" s="3">
        <v>60</v>
      </c>
      <c r="C36" s="3" t="s">
        <v>155</v>
      </c>
      <c r="D36" s="1">
        <v>202673.204</v>
      </c>
      <c r="E36" s="1">
        <f t="shared" si="1"/>
        <v>121603.9224</v>
      </c>
    </row>
    <row r="37" spans="1:5" hidden="1" x14ac:dyDescent="0.35">
      <c r="A37" s="1" t="s">
        <v>24</v>
      </c>
      <c r="B37" s="3">
        <v>80</v>
      </c>
      <c r="C37" s="3" t="s">
        <v>156</v>
      </c>
      <c r="D37" s="1">
        <v>303403.26102248463</v>
      </c>
      <c r="E37" s="1">
        <f t="shared" si="1"/>
        <v>182041.95661349077</v>
      </c>
    </row>
    <row r="38" spans="1:5" hidden="1" x14ac:dyDescent="0.35">
      <c r="A38" s="1" t="s">
        <v>29</v>
      </c>
      <c r="B38" s="3">
        <v>20</v>
      </c>
      <c r="C38" s="3" t="s">
        <v>157</v>
      </c>
      <c r="D38" s="7">
        <v>259647.91505100002</v>
      </c>
      <c r="E38" s="1">
        <f t="shared" si="1"/>
        <v>155788.74903060001</v>
      </c>
    </row>
    <row r="39" spans="1:5" hidden="1" x14ac:dyDescent="0.35">
      <c r="A39" s="1" t="s">
        <v>29</v>
      </c>
      <c r="B39" s="3">
        <v>40</v>
      </c>
      <c r="C39" s="3" t="s">
        <v>158</v>
      </c>
      <c r="D39" s="1">
        <v>365917.31488200004</v>
      </c>
      <c r="E39" s="1">
        <f t="shared" si="1"/>
        <v>219550.38892920001</v>
      </c>
    </row>
    <row r="40" spans="1:5" hidden="1" x14ac:dyDescent="0.35">
      <c r="A40" s="1" t="s">
        <v>29</v>
      </c>
      <c r="B40" s="3">
        <v>60</v>
      </c>
      <c r="C40" s="3" t="s">
        <v>159</v>
      </c>
      <c r="D40" s="1">
        <v>448632.15701850003</v>
      </c>
      <c r="E40" s="1">
        <f t="shared" si="1"/>
        <v>269179.29421110003</v>
      </c>
    </row>
    <row r="41" spans="1:5" hidden="1" x14ac:dyDescent="0.35">
      <c r="A41" s="1" t="s">
        <v>29</v>
      </c>
      <c r="B41" s="3">
        <v>80</v>
      </c>
      <c r="C41" s="3" t="s">
        <v>160</v>
      </c>
      <c r="D41" s="1">
        <v>547780.41150000005</v>
      </c>
      <c r="E41" s="1">
        <f t="shared" si="1"/>
        <v>328668.24690000003</v>
      </c>
    </row>
    <row r="42" spans="1:5" hidden="1" x14ac:dyDescent="0.35">
      <c r="A42" s="1" t="s">
        <v>31</v>
      </c>
      <c r="B42" s="3">
        <v>20</v>
      </c>
      <c r="C42" s="3" t="s">
        <v>161</v>
      </c>
      <c r="D42" s="7">
        <v>93083.341868358242</v>
      </c>
      <c r="E42" s="1">
        <f t="shared" si="1"/>
        <v>55850.005121014947</v>
      </c>
    </row>
    <row r="43" spans="1:5" hidden="1" x14ac:dyDescent="0.35">
      <c r="A43" s="1" t="s">
        <v>31</v>
      </c>
      <c r="B43" s="3">
        <v>40</v>
      </c>
      <c r="C43" s="3" t="s">
        <v>162</v>
      </c>
      <c r="D43" s="1">
        <v>108534.63667127246</v>
      </c>
      <c r="E43" s="1">
        <f t="shared" si="1"/>
        <v>65120.782002763473</v>
      </c>
    </row>
    <row r="44" spans="1:5" hidden="1" x14ac:dyDescent="0.35">
      <c r="A44" s="1" t="s">
        <v>31</v>
      </c>
      <c r="B44" s="3">
        <v>60</v>
      </c>
      <c r="C44" s="3" t="s">
        <v>163</v>
      </c>
      <c r="D44" s="1">
        <v>133068.6638230122</v>
      </c>
      <c r="E44" s="1">
        <f t="shared" si="1"/>
        <v>79841.19829380732</v>
      </c>
    </row>
    <row r="45" spans="1:5" hidden="1" x14ac:dyDescent="0.35">
      <c r="A45" s="1" t="s">
        <v>31</v>
      </c>
      <c r="B45" s="3">
        <v>80</v>
      </c>
      <c r="C45" s="3" t="s">
        <v>164</v>
      </c>
      <c r="D45" s="1">
        <v>162477.00100489889</v>
      </c>
      <c r="E45" s="1">
        <f t="shared" si="1"/>
        <v>97486.200602939338</v>
      </c>
    </row>
    <row r="46" spans="1:5" hidden="1" x14ac:dyDescent="0.35">
      <c r="A46" s="1" t="s">
        <v>32</v>
      </c>
      <c r="B46" s="3">
        <v>40</v>
      </c>
      <c r="C46" s="3" t="s">
        <v>165</v>
      </c>
      <c r="D46" s="1">
        <v>113146.17</v>
      </c>
      <c r="E46" s="1">
        <f t="shared" si="1"/>
        <v>67887.70199999999</v>
      </c>
    </row>
    <row r="47" spans="1:5" hidden="1" x14ac:dyDescent="0.35">
      <c r="A47" s="1" t="s">
        <v>32</v>
      </c>
      <c r="B47" s="3">
        <v>60</v>
      </c>
      <c r="C47" s="3" t="s">
        <v>166</v>
      </c>
      <c r="D47" s="1">
        <v>159454.94</v>
      </c>
      <c r="E47" s="1">
        <f t="shared" si="1"/>
        <v>95672.963999999993</v>
      </c>
    </row>
    <row r="48" spans="1:5" hidden="1" x14ac:dyDescent="0.35">
      <c r="A48" s="1" t="s">
        <v>32</v>
      </c>
      <c r="B48" s="3">
        <v>80</v>
      </c>
      <c r="C48" s="3" t="s">
        <v>167</v>
      </c>
      <c r="D48" s="1">
        <v>238705</v>
      </c>
      <c r="E48" s="1">
        <f t="shared" si="1"/>
        <v>143223</v>
      </c>
    </row>
    <row r="49" spans="1:5" hidden="1" x14ac:dyDescent="0.35">
      <c r="A49" s="1" t="s">
        <v>34</v>
      </c>
      <c r="B49" s="3">
        <v>20</v>
      </c>
      <c r="C49" s="3" t="s">
        <v>168</v>
      </c>
      <c r="D49" s="7">
        <v>157719.36820374324</v>
      </c>
      <c r="E49" s="1">
        <f t="shared" si="1"/>
        <v>94631.620922245944</v>
      </c>
    </row>
    <row r="50" spans="1:5" hidden="1" x14ac:dyDescent="0.35">
      <c r="A50" s="1" t="s">
        <v>34</v>
      </c>
      <c r="B50" s="3">
        <v>40</v>
      </c>
      <c r="C50" s="3" t="s">
        <v>169</v>
      </c>
      <c r="D50" s="1">
        <v>222271.17713101368</v>
      </c>
      <c r="E50" s="1">
        <f t="shared" si="1"/>
        <v>133362.70627860821</v>
      </c>
    </row>
    <row r="51" spans="1:5" hidden="1" x14ac:dyDescent="0.35">
      <c r="A51" s="1" t="s">
        <v>34</v>
      </c>
      <c r="B51" s="8">
        <v>60</v>
      </c>
      <c r="C51" s="3" t="s">
        <v>170</v>
      </c>
      <c r="D51" s="1">
        <v>272515.11088368297</v>
      </c>
      <c r="E51" s="1">
        <f t="shared" si="1"/>
        <v>163509.06653020976</v>
      </c>
    </row>
    <row r="52" spans="1:5" hidden="1" x14ac:dyDescent="0.35">
      <c r="A52" s="1" t="s">
        <v>34</v>
      </c>
      <c r="B52" s="3">
        <v>80</v>
      </c>
      <c r="C52" s="3" t="s">
        <v>171</v>
      </c>
      <c r="D52" s="1">
        <v>332741.28313026001</v>
      </c>
      <c r="E52" s="1">
        <f t="shared" si="1"/>
        <v>199644.76987815599</v>
      </c>
    </row>
    <row r="53" spans="1:5" hidden="1" x14ac:dyDescent="0.35">
      <c r="A53" s="1" t="s">
        <v>61</v>
      </c>
      <c r="B53" s="3">
        <v>10</v>
      </c>
      <c r="C53" s="3" t="s">
        <v>567</v>
      </c>
      <c r="D53" s="1">
        <v>162477.00100489889</v>
      </c>
      <c r="E53" s="1">
        <f t="shared" si="1"/>
        <v>97486.200602939338</v>
      </c>
    </row>
    <row r="54" spans="1:5" hidden="1" x14ac:dyDescent="0.35">
      <c r="A54" s="1" t="s">
        <v>61</v>
      </c>
      <c r="B54" s="3">
        <v>20</v>
      </c>
      <c r="C54" s="3" t="s">
        <v>568</v>
      </c>
      <c r="D54" s="1">
        <v>162477.00100489889</v>
      </c>
      <c r="E54" s="1">
        <f t="shared" ref="E54" si="2">D54*0.6</f>
        <v>97486.200602939338</v>
      </c>
    </row>
    <row r="55" spans="1:5" hidden="1" x14ac:dyDescent="0.35">
      <c r="A55" s="1" t="s">
        <v>74</v>
      </c>
      <c r="B55" s="3">
        <v>20</v>
      </c>
      <c r="C55" s="3" t="s">
        <v>172</v>
      </c>
      <c r="D55" s="7">
        <v>259647.91505100002</v>
      </c>
      <c r="E55" s="1">
        <f t="shared" si="1"/>
        <v>155788.74903060001</v>
      </c>
    </row>
    <row r="56" spans="1:5" hidden="1" x14ac:dyDescent="0.35">
      <c r="A56" s="1" t="s">
        <v>74</v>
      </c>
      <c r="B56" s="3">
        <v>40</v>
      </c>
      <c r="C56" s="3" t="s">
        <v>173</v>
      </c>
      <c r="D56" s="1">
        <v>365917.31488200004</v>
      </c>
      <c r="E56" s="1">
        <f t="shared" si="1"/>
        <v>219550.38892920001</v>
      </c>
    </row>
    <row r="57" spans="1:5" hidden="1" x14ac:dyDescent="0.35">
      <c r="A57" s="1" t="s">
        <v>74</v>
      </c>
      <c r="B57" s="3">
        <v>60</v>
      </c>
      <c r="C57" s="3" t="s">
        <v>174</v>
      </c>
      <c r="D57" s="1">
        <v>448632.15701850003</v>
      </c>
      <c r="E57" s="1">
        <f t="shared" si="1"/>
        <v>269179.29421110003</v>
      </c>
    </row>
    <row r="58" spans="1:5" hidden="1" x14ac:dyDescent="0.35">
      <c r="A58" s="1" t="s">
        <v>74</v>
      </c>
      <c r="B58" s="3">
        <v>80</v>
      </c>
      <c r="C58" s="3" t="s">
        <v>175</v>
      </c>
      <c r="D58" s="1">
        <v>547780.41150000005</v>
      </c>
      <c r="E58" s="1">
        <f t="shared" ref="E58:E59" si="3">D58*0.6</f>
        <v>328668.24690000003</v>
      </c>
    </row>
    <row r="59" spans="1:5" hidden="1" x14ac:dyDescent="0.35">
      <c r="A59" s="1" t="s">
        <v>75</v>
      </c>
      <c r="B59" s="3">
        <v>60</v>
      </c>
      <c r="C59" s="3" t="s">
        <v>569</v>
      </c>
      <c r="D59" s="1">
        <v>397512.86898630828</v>
      </c>
      <c r="E59" s="1">
        <f t="shared" si="3"/>
        <v>238507.72139178496</v>
      </c>
    </row>
    <row r="60" spans="1:5" hidden="1" x14ac:dyDescent="0.35">
      <c r="A60" s="1" t="s">
        <v>75</v>
      </c>
      <c r="B60" s="3">
        <v>40</v>
      </c>
      <c r="C60" s="3" t="s">
        <v>570</v>
      </c>
      <c r="D60" s="1">
        <v>397512.86898630828</v>
      </c>
      <c r="E60" s="1">
        <f t="shared" ref="E60" si="4">D60*0.6</f>
        <v>238507.72139178496</v>
      </c>
    </row>
    <row r="61" spans="1:5" hidden="1" x14ac:dyDescent="0.35">
      <c r="A61" s="1" t="s">
        <v>75</v>
      </c>
      <c r="B61" s="3">
        <v>1</v>
      </c>
      <c r="C61" s="3" t="s">
        <v>176</v>
      </c>
      <c r="D61" s="1">
        <v>397512.86898630828</v>
      </c>
      <c r="E61" s="1">
        <f t="shared" si="1"/>
        <v>238507.72139178496</v>
      </c>
    </row>
  </sheetData>
  <autoFilter ref="A1:E61" xr:uid="{494496C7-BDCB-4398-8706-79E41E49DC88}">
    <filterColumn colId="0">
      <filters>
        <filter val="08-Anexo.Silos"/>
      </filters>
    </filterColumn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A2611-CF0D-47CD-93B5-BCD369EEB4AD}">
  <sheetPr codeName="Hoja8"/>
  <dimension ref="A1:J76"/>
  <sheetViews>
    <sheetView workbookViewId="0">
      <selection activeCell="G23" sqref="G23"/>
    </sheetView>
  </sheetViews>
  <sheetFormatPr baseColWidth="10" defaultRowHeight="14.5" x14ac:dyDescent="0.35"/>
  <cols>
    <col min="1" max="1" width="49.81640625" customWidth="1"/>
    <col min="2" max="2" width="17" customWidth="1"/>
  </cols>
  <sheetData>
    <row r="1" spans="1:2" x14ac:dyDescent="0.35">
      <c r="A1" s="5" t="s">
        <v>5</v>
      </c>
      <c r="B1" t="s">
        <v>102</v>
      </c>
    </row>
    <row r="2" spans="1:2" x14ac:dyDescent="0.35">
      <c r="A2" s="1" t="s">
        <v>14</v>
      </c>
      <c r="B2" t="s">
        <v>103</v>
      </c>
    </row>
    <row r="3" spans="1:2" x14ac:dyDescent="0.35">
      <c r="A3" s="1" t="s">
        <v>19</v>
      </c>
      <c r="B3" t="s">
        <v>3</v>
      </c>
    </row>
    <row r="4" spans="1:2" x14ac:dyDescent="0.35">
      <c r="A4" s="1" t="s">
        <v>20</v>
      </c>
      <c r="B4" t="s">
        <v>3</v>
      </c>
    </row>
    <row r="5" spans="1:2" x14ac:dyDescent="0.35">
      <c r="A5" s="1" t="s">
        <v>25</v>
      </c>
      <c r="B5" t="s">
        <v>105</v>
      </c>
    </row>
    <row r="6" spans="1:2" x14ac:dyDescent="0.35">
      <c r="A6" s="1" t="s">
        <v>26</v>
      </c>
      <c r="B6" t="s">
        <v>105</v>
      </c>
    </row>
    <row r="7" spans="1:2" x14ac:dyDescent="0.35">
      <c r="A7" s="1" t="s">
        <v>27</v>
      </c>
      <c r="B7" t="s">
        <v>103</v>
      </c>
    </row>
    <row r="8" spans="1:2" x14ac:dyDescent="0.35">
      <c r="A8" s="1" t="s">
        <v>28</v>
      </c>
      <c r="B8" t="s">
        <v>104</v>
      </c>
    </row>
    <row r="9" spans="1:2" x14ac:dyDescent="0.35">
      <c r="A9" s="1" t="s">
        <v>30</v>
      </c>
      <c r="B9" t="s">
        <v>105</v>
      </c>
    </row>
    <row r="10" spans="1:2" x14ac:dyDescent="0.35">
      <c r="A10" s="1" t="s">
        <v>33</v>
      </c>
      <c r="B10" t="s">
        <v>104</v>
      </c>
    </row>
    <row r="11" spans="1:2" x14ac:dyDescent="0.35">
      <c r="A11" s="1" t="s">
        <v>35</v>
      </c>
      <c r="B11" t="s">
        <v>103</v>
      </c>
    </row>
    <row r="12" spans="1:2" x14ac:dyDescent="0.35">
      <c r="A12" s="1" t="s">
        <v>36</v>
      </c>
      <c r="B12" t="s">
        <v>104</v>
      </c>
    </row>
    <row r="13" spans="1:2" x14ac:dyDescent="0.35">
      <c r="A13" s="1" t="s">
        <v>37</v>
      </c>
      <c r="B13" t="s">
        <v>105</v>
      </c>
    </row>
    <row r="14" spans="1:2" x14ac:dyDescent="0.35">
      <c r="A14" s="1" t="s">
        <v>38</v>
      </c>
      <c r="B14" t="s">
        <v>104</v>
      </c>
    </row>
    <row r="15" spans="1:2" x14ac:dyDescent="0.35">
      <c r="A15" s="1" t="s">
        <v>39</v>
      </c>
      <c r="B15" t="s">
        <v>104</v>
      </c>
    </row>
    <row r="16" spans="1:2" x14ac:dyDescent="0.35">
      <c r="A16" s="1" t="s">
        <v>40</v>
      </c>
      <c r="B16" t="s">
        <v>104</v>
      </c>
    </row>
    <row r="17" spans="1:9" x14ac:dyDescent="0.35">
      <c r="A17" s="1" t="s">
        <v>41</v>
      </c>
      <c r="B17" t="s">
        <v>103</v>
      </c>
    </row>
    <row r="18" spans="1:9" x14ac:dyDescent="0.35">
      <c r="A18" s="1" t="s">
        <v>42</v>
      </c>
      <c r="B18" t="s">
        <v>104</v>
      </c>
    </row>
    <row r="19" spans="1:9" x14ac:dyDescent="0.35">
      <c r="A19" s="1" t="s">
        <v>43</v>
      </c>
      <c r="B19" t="s">
        <v>104</v>
      </c>
    </row>
    <row r="20" spans="1:9" x14ac:dyDescent="0.35">
      <c r="A20" s="1" t="s">
        <v>44</v>
      </c>
      <c r="B20" t="s">
        <v>105</v>
      </c>
    </row>
    <row r="21" spans="1:9" x14ac:dyDescent="0.35">
      <c r="A21" s="1" t="s">
        <v>45</v>
      </c>
      <c r="B21" t="s">
        <v>104</v>
      </c>
    </row>
    <row r="22" spans="1:9" x14ac:dyDescent="0.35">
      <c r="A22" s="1" t="s">
        <v>46</v>
      </c>
      <c r="B22" t="s">
        <v>103</v>
      </c>
    </row>
    <row r="23" spans="1:9" x14ac:dyDescent="0.35">
      <c r="A23" s="1" t="s">
        <v>47</v>
      </c>
      <c r="B23" t="s">
        <v>105</v>
      </c>
    </row>
    <row r="24" spans="1:9" x14ac:dyDescent="0.35">
      <c r="A24" s="1" t="s">
        <v>48</v>
      </c>
      <c r="B24" t="s">
        <v>105</v>
      </c>
    </row>
    <row r="25" spans="1:9" x14ac:dyDescent="0.35">
      <c r="A25" s="1" t="s">
        <v>49</v>
      </c>
      <c r="B25" t="s">
        <v>105</v>
      </c>
    </row>
    <row r="26" spans="1:9" x14ac:dyDescent="0.35">
      <c r="A26" s="1" t="s">
        <v>50</v>
      </c>
      <c r="B26" t="s">
        <v>105</v>
      </c>
    </row>
    <row r="27" spans="1:9" x14ac:dyDescent="0.35">
      <c r="A27" s="1" t="s">
        <v>51</v>
      </c>
      <c r="B27" t="s">
        <v>3</v>
      </c>
    </row>
    <row r="28" spans="1:9" x14ac:dyDescent="0.35">
      <c r="A28" s="1" t="s">
        <v>52</v>
      </c>
      <c r="B28" t="s">
        <v>105</v>
      </c>
    </row>
    <row r="29" spans="1:9" x14ac:dyDescent="0.35">
      <c r="A29" s="1" t="s">
        <v>53</v>
      </c>
      <c r="B29" t="s">
        <v>106</v>
      </c>
      <c r="E29" t="s">
        <v>114</v>
      </c>
      <c r="F29" t="str">
        <f>A29</f>
        <v>49-ESTACIONES DE BOMBEROS</v>
      </c>
      <c r="G29" t="s">
        <v>111</v>
      </c>
      <c r="I29" t="str">
        <f>E29&amp;F29&amp;G29</f>
        <v>SI(O(H8=49-ESTACIONES DE BOMBEROS";</v>
      </c>
    </row>
    <row r="30" spans="1:9" x14ac:dyDescent="0.35">
      <c r="A30" s="1" t="s">
        <v>54</v>
      </c>
      <c r="B30" t="s">
        <v>105</v>
      </c>
    </row>
    <row r="31" spans="1:9" x14ac:dyDescent="0.35">
      <c r="A31" s="1" t="s">
        <v>55</v>
      </c>
      <c r="B31" t="s">
        <v>105</v>
      </c>
    </row>
    <row r="32" spans="1:9" x14ac:dyDescent="0.35">
      <c r="A32" s="1" t="s">
        <v>56</v>
      </c>
      <c r="B32" t="s">
        <v>103</v>
      </c>
    </row>
    <row r="33" spans="1:2" x14ac:dyDescent="0.35">
      <c r="A33" s="1" t="s">
        <v>57</v>
      </c>
      <c r="B33" t="s">
        <v>104</v>
      </c>
    </row>
    <row r="34" spans="1:2" x14ac:dyDescent="0.35">
      <c r="A34" s="1" t="s">
        <v>58</v>
      </c>
      <c r="B34" t="s">
        <v>104</v>
      </c>
    </row>
    <row r="35" spans="1:2" x14ac:dyDescent="0.35">
      <c r="A35" s="1" t="s">
        <v>59</v>
      </c>
      <c r="B35" t="s">
        <v>103</v>
      </c>
    </row>
    <row r="36" spans="1:2" x14ac:dyDescent="0.35">
      <c r="A36" s="1" t="s">
        <v>60</v>
      </c>
      <c r="B36" t="s">
        <v>104</v>
      </c>
    </row>
    <row r="37" spans="1:2" x14ac:dyDescent="0.35">
      <c r="A37" s="1" t="s">
        <v>62</v>
      </c>
      <c r="B37" t="s">
        <v>103</v>
      </c>
    </row>
    <row r="38" spans="1:2" x14ac:dyDescent="0.35">
      <c r="A38" s="1" t="s">
        <v>63</v>
      </c>
      <c r="B38" t="s">
        <v>105</v>
      </c>
    </row>
    <row r="39" spans="1:2" x14ac:dyDescent="0.35">
      <c r="A39" s="1" t="s">
        <v>64</v>
      </c>
      <c r="B39" t="s">
        <v>103</v>
      </c>
    </row>
    <row r="40" spans="1:2" x14ac:dyDescent="0.35">
      <c r="A40" s="1" t="s">
        <v>65</v>
      </c>
      <c r="B40" t="s">
        <v>103</v>
      </c>
    </row>
    <row r="41" spans="1:2" x14ac:dyDescent="0.35">
      <c r="A41" s="1" t="s">
        <v>66</v>
      </c>
      <c r="B41" t="s">
        <v>103</v>
      </c>
    </row>
    <row r="42" spans="1:2" x14ac:dyDescent="0.35">
      <c r="A42" s="1" t="s">
        <v>67</v>
      </c>
      <c r="B42" t="s">
        <v>104</v>
      </c>
    </row>
    <row r="43" spans="1:2" x14ac:dyDescent="0.35">
      <c r="A43" s="1" t="s">
        <v>68</v>
      </c>
      <c r="B43" t="s">
        <v>104</v>
      </c>
    </row>
    <row r="44" spans="1:2" x14ac:dyDescent="0.35">
      <c r="A44" s="1" t="s">
        <v>69</v>
      </c>
      <c r="B44" t="s">
        <v>104</v>
      </c>
    </row>
    <row r="45" spans="1:2" x14ac:dyDescent="0.35">
      <c r="A45" s="1" t="s">
        <v>70</v>
      </c>
      <c r="B45" t="s">
        <v>104</v>
      </c>
    </row>
    <row r="46" spans="1:2" x14ac:dyDescent="0.35">
      <c r="A46" s="1" t="s">
        <v>71</v>
      </c>
      <c r="B46" t="s">
        <v>104</v>
      </c>
    </row>
    <row r="47" spans="1:2" x14ac:dyDescent="0.35">
      <c r="A47" s="1" t="s">
        <v>72</v>
      </c>
      <c r="B47" t="s">
        <v>103</v>
      </c>
    </row>
    <row r="48" spans="1:2" x14ac:dyDescent="0.35">
      <c r="A48" s="1" t="s">
        <v>73</v>
      </c>
      <c r="B48" t="s">
        <v>3</v>
      </c>
    </row>
    <row r="49" spans="1:9" x14ac:dyDescent="0.35">
      <c r="A49" s="1" t="s">
        <v>76</v>
      </c>
      <c r="B49" t="s">
        <v>104</v>
      </c>
    </row>
    <row r="50" spans="1:9" x14ac:dyDescent="0.35">
      <c r="A50" s="1" t="s">
        <v>77</v>
      </c>
      <c r="B50" t="s">
        <v>105</v>
      </c>
    </row>
    <row r="51" spans="1:9" x14ac:dyDescent="0.35">
      <c r="A51" s="1" t="s">
        <v>78</v>
      </c>
      <c r="B51" t="s">
        <v>104</v>
      </c>
    </row>
    <row r="52" spans="1:9" x14ac:dyDescent="0.35">
      <c r="A52" s="1" t="s">
        <v>79</v>
      </c>
      <c r="B52" t="s">
        <v>104</v>
      </c>
    </row>
    <row r="53" spans="1:9" x14ac:dyDescent="0.35">
      <c r="A53" s="1" t="s">
        <v>80</v>
      </c>
      <c r="B53" t="s">
        <v>104</v>
      </c>
    </row>
    <row r="54" spans="1:9" x14ac:dyDescent="0.35">
      <c r="A54" s="1" t="s">
        <v>81</v>
      </c>
      <c r="B54" t="s">
        <v>105</v>
      </c>
    </row>
    <row r="55" spans="1:9" x14ac:dyDescent="0.35">
      <c r="A55" s="1" t="s">
        <v>116</v>
      </c>
      <c r="B55" t="s">
        <v>106</v>
      </c>
      <c r="E55" t="s">
        <v>113</v>
      </c>
      <c r="F55" t="str">
        <f>A55</f>
        <v>92-AEROGENERADOR DE ENERGÍA</v>
      </c>
      <c r="G55" t="s">
        <v>111</v>
      </c>
      <c r="I55" t="str">
        <f>E55&amp;F55&amp;G55</f>
        <v>H8="92-AEROGENERADOR DE ENERGÍA";</v>
      </c>
    </row>
    <row r="56" spans="1:9" x14ac:dyDescent="0.35">
      <c r="A56" s="1" t="s">
        <v>82</v>
      </c>
      <c r="B56" t="s">
        <v>103</v>
      </c>
    </row>
    <row r="57" spans="1:9" x14ac:dyDescent="0.35">
      <c r="A57" s="1" t="s">
        <v>83</v>
      </c>
      <c r="B57" t="s">
        <v>103</v>
      </c>
    </row>
    <row r="58" spans="1:9" x14ac:dyDescent="0.35">
      <c r="A58" s="1" t="s">
        <v>84</v>
      </c>
      <c r="B58" t="s">
        <v>103</v>
      </c>
    </row>
    <row r="59" spans="1:9" x14ac:dyDescent="0.35">
      <c r="A59" s="1" t="s">
        <v>85</v>
      </c>
      <c r="B59" t="s">
        <v>104</v>
      </c>
    </row>
    <row r="60" spans="1:9" x14ac:dyDescent="0.35">
      <c r="A60" s="1" t="s">
        <v>86</v>
      </c>
      <c r="B60" t="s">
        <v>104</v>
      </c>
    </row>
    <row r="61" spans="1:9" x14ac:dyDescent="0.35">
      <c r="A61" s="1" t="s">
        <v>87</v>
      </c>
      <c r="B61" t="s">
        <v>104</v>
      </c>
    </row>
    <row r="62" spans="1:9" x14ac:dyDescent="0.35">
      <c r="A62" s="1" t="s">
        <v>88</v>
      </c>
      <c r="B62" t="s">
        <v>3</v>
      </c>
    </row>
    <row r="63" spans="1:9" x14ac:dyDescent="0.35">
      <c r="A63" s="1" t="s">
        <v>89</v>
      </c>
      <c r="B63" t="s">
        <v>105</v>
      </c>
    </row>
    <row r="64" spans="1:9" x14ac:dyDescent="0.35">
      <c r="A64" s="1" t="s">
        <v>90</v>
      </c>
      <c r="B64" t="s">
        <v>105</v>
      </c>
    </row>
    <row r="65" spans="1:10" x14ac:dyDescent="0.35">
      <c r="A65" s="1" t="s">
        <v>91</v>
      </c>
      <c r="B65" t="s">
        <v>105</v>
      </c>
    </row>
    <row r="66" spans="1:10" x14ac:dyDescent="0.35">
      <c r="A66" s="1" t="s">
        <v>92</v>
      </c>
      <c r="B66" t="s">
        <v>105</v>
      </c>
    </row>
    <row r="67" spans="1:10" x14ac:dyDescent="0.35">
      <c r="A67" s="1" t="s">
        <v>93</v>
      </c>
      <c r="B67" t="s">
        <v>105</v>
      </c>
    </row>
    <row r="68" spans="1:10" x14ac:dyDescent="0.35">
      <c r="A68" s="1" t="s">
        <v>94</v>
      </c>
      <c r="B68" t="s">
        <v>105</v>
      </c>
    </row>
    <row r="69" spans="1:10" x14ac:dyDescent="0.35">
      <c r="A69" s="1" t="s">
        <v>95</v>
      </c>
      <c r="B69" t="s">
        <v>105</v>
      </c>
    </row>
    <row r="70" spans="1:10" x14ac:dyDescent="0.35">
      <c r="A70" s="1" t="s">
        <v>96</v>
      </c>
      <c r="B70" t="s">
        <v>105</v>
      </c>
    </row>
    <row r="74" spans="1:10" x14ac:dyDescent="0.35">
      <c r="J74" t="str">
        <f>_xlfn.CONCAT(I29:I55)</f>
        <v>SI(O(H8=49-ESTACIONES DE BOMBEROS";H8="92-AEROGENERADOR DE ENERGÍA";</v>
      </c>
    </row>
    <row r="76" spans="1:10" x14ac:dyDescent="0.35">
      <c r="J76" t="s">
        <v>115</v>
      </c>
    </row>
  </sheetData>
  <autoFilter ref="A1:B70" xr:uid="{8E1A2611-CF0D-47CD-93B5-BCD369EEB4AD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9C34-5198-46F4-B4E8-47086069EB31}">
  <sheetPr codeName="Hoja2"/>
  <dimension ref="A1:D124"/>
  <sheetViews>
    <sheetView workbookViewId="0">
      <pane ySplit="1" topLeftCell="A2" activePane="bottomLeft" state="frozen"/>
      <selection pane="bottomLeft" activeCell="C3" sqref="C3:D3"/>
    </sheetView>
  </sheetViews>
  <sheetFormatPr baseColWidth="10" defaultRowHeight="14.5" x14ac:dyDescent="0.35"/>
  <cols>
    <col min="1" max="1" width="17.81640625" bestFit="1" customWidth="1"/>
    <col min="2" max="2" width="17" bestFit="1" customWidth="1"/>
    <col min="4" max="4" width="17" bestFit="1" customWidth="1"/>
  </cols>
  <sheetData>
    <row r="1" spans="1:4" x14ac:dyDescent="0.35">
      <c r="A1" s="4" t="s">
        <v>6</v>
      </c>
      <c r="B1" s="4" t="s">
        <v>7</v>
      </c>
      <c r="C1" s="4" t="s">
        <v>8</v>
      </c>
      <c r="D1" s="4" t="s">
        <v>7</v>
      </c>
    </row>
    <row r="2" spans="1:4" x14ac:dyDescent="0.35">
      <c r="A2" s="4">
        <v>200</v>
      </c>
      <c r="B2" s="4">
        <v>120</v>
      </c>
      <c r="C2" s="4">
        <v>1</v>
      </c>
      <c r="D2" s="4">
        <v>120</v>
      </c>
    </row>
    <row r="3" spans="1:4" x14ac:dyDescent="0.35">
      <c r="A3" s="4">
        <v>230</v>
      </c>
      <c r="B3" s="4">
        <v>138</v>
      </c>
      <c r="C3" s="4">
        <v>2</v>
      </c>
      <c r="D3" s="4">
        <v>138</v>
      </c>
    </row>
    <row r="4" spans="1:4" x14ac:dyDescent="0.35">
      <c r="A4" s="4">
        <v>250</v>
      </c>
      <c r="B4" s="4">
        <v>150</v>
      </c>
      <c r="C4" s="4">
        <v>3</v>
      </c>
      <c r="D4" s="145">
        <v>150</v>
      </c>
    </row>
    <row r="5" spans="1:4" x14ac:dyDescent="0.35">
      <c r="A5" s="4">
        <v>270</v>
      </c>
      <c r="B5" s="4">
        <v>162</v>
      </c>
      <c r="C5" s="4">
        <v>4</v>
      </c>
      <c r="D5" s="4">
        <v>162</v>
      </c>
    </row>
    <row r="6" spans="1:4" x14ac:dyDescent="0.35">
      <c r="A6" s="4">
        <v>330</v>
      </c>
      <c r="B6" s="4">
        <v>198</v>
      </c>
      <c r="C6" s="4">
        <v>5</v>
      </c>
      <c r="D6" s="4">
        <v>198</v>
      </c>
    </row>
    <row r="7" spans="1:4" x14ac:dyDescent="0.35">
      <c r="A7" s="4">
        <v>450</v>
      </c>
      <c r="B7" s="4">
        <v>270</v>
      </c>
      <c r="C7" s="4">
        <v>6</v>
      </c>
      <c r="D7" s="4">
        <v>270</v>
      </c>
    </row>
    <row r="8" spans="1:4" x14ac:dyDescent="0.35">
      <c r="A8" s="4">
        <v>500</v>
      </c>
      <c r="B8" s="4">
        <v>300</v>
      </c>
      <c r="C8" s="4">
        <v>7</v>
      </c>
      <c r="D8" s="4">
        <v>300</v>
      </c>
    </row>
    <row r="9" spans="1:4" x14ac:dyDescent="0.35">
      <c r="A9" s="4">
        <v>600</v>
      </c>
      <c r="B9" s="4">
        <v>360</v>
      </c>
      <c r="C9" s="4">
        <v>8</v>
      </c>
      <c r="D9" s="4">
        <v>360</v>
      </c>
    </row>
    <row r="10" spans="1:4" x14ac:dyDescent="0.35">
      <c r="A10" s="4">
        <v>650</v>
      </c>
      <c r="B10" s="4">
        <v>390</v>
      </c>
      <c r="C10" s="4">
        <v>9</v>
      </c>
      <c r="D10" s="4">
        <v>390</v>
      </c>
    </row>
    <row r="11" spans="1:4" x14ac:dyDescent="0.35">
      <c r="A11" s="4">
        <v>750</v>
      </c>
      <c r="B11" s="4">
        <v>450</v>
      </c>
      <c r="C11" s="4">
        <v>10</v>
      </c>
      <c r="D11" s="4">
        <v>450</v>
      </c>
    </row>
    <row r="12" spans="1:4" x14ac:dyDescent="0.35">
      <c r="A12" s="4">
        <v>850</v>
      </c>
      <c r="B12" s="4">
        <v>510</v>
      </c>
      <c r="C12" s="4">
        <v>11</v>
      </c>
      <c r="D12" s="4">
        <v>510</v>
      </c>
    </row>
    <row r="13" spans="1:4" x14ac:dyDescent="0.35">
      <c r="A13" s="4">
        <v>900</v>
      </c>
      <c r="B13" s="4">
        <v>540</v>
      </c>
      <c r="C13" s="4">
        <v>12</v>
      </c>
      <c r="D13" s="4">
        <v>540</v>
      </c>
    </row>
    <row r="14" spans="1:4" x14ac:dyDescent="0.35">
      <c r="A14" s="4">
        <v>1100</v>
      </c>
      <c r="B14" s="4">
        <v>660</v>
      </c>
      <c r="C14" s="4">
        <v>13</v>
      </c>
      <c r="D14" s="4">
        <v>660</v>
      </c>
    </row>
    <row r="15" spans="1:4" x14ac:dyDescent="0.35">
      <c r="A15" s="4">
        <v>1500</v>
      </c>
      <c r="B15" s="4">
        <v>900</v>
      </c>
      <c r="C15" s="4">
        <v>14</v>
      </c>
      <c r="D15" s="4">
        <v>900</v>
      </c>
    </row>
    <row r="16" spans="1:4" x14ac:dyDescent="0.35">
      <c r="A16" s="4">
        <v>1700</v>
      </c>
      <c r="B16" s="4">
        <v>1020</v>
      </c>
      <c r="C16" s="4">
        <v>15</v>
      </c>
      <c r="D16" s="4">
        <v>1020</v>
      </c>
    </row>
    <row r="17" spans="1:4" x14ac:dyDescent="0.35">
      <c r="A17" s="4">
        <v>1800</v>
      </c>
      <c r="B17" s="4">
        <v>1080</v>
      </c>
      <c r="C17" s="4">
        <v>16</v>
      </c>
      <c r="D17" s="4">
        <v>1080</v>
      </c>
    </row>
    <row r="18" spans="1:4" x14ac:dyDescent="0.35">
      <c r="A18" s="4">
        <v>2100</v>
      </c>
      <c r="B18" s="4">
        <v>1260</v>
      </c>
      <c r="C18" s="4">
        <v>17</v>
      </c>
      <c r="D18" s="4">
        <v>1260</v>
      </c>
    </row>
    <row r="19" spans="1:4" x14ac:dyDescent="0.35">
      <c r="A19" s="4">
        <v>2200</v>
      </c>
      <c r="B19" s="4">
        <v>1320</v>
      </c>
      <c r="C19" s="4">
        <v>18</v>
      </c>
      <c r="D19" s="4">
        <v>1320</v>
      </c>
    </row>
    <row r="20" spans="1:4" x14ac:dyDescent="0.35">
      <c r="A20" s="4">
        <v>2400</v>
      </c>
      <c r="B20" s="4">
        <v>1440</v>
      </c>
      <c r="C20" s="4">
        <v>19</v>
      </c>
      <c r="D20" s="4">
        <v>1440</v>
      </c>
    </row>
    <row r="21" spans="1:4" x14ac:dyDescent="0.35">
      <c r="A21" s="4">
        <v>2500</v>
      </c>
      <c r="B21" s="4">
        <v>1500</v>
      </c>
      <c r="C21" s="4">
        <v>20</v>
      </c>
      <c r="D21" s="4">
        <v>1500</v>
      </c>
    </row>
    <row r="22" spans="1:4" x14ac:dyDescent="0.35">
      <c r="A22" s="4">
        <v>2700</v>
      </c>
      <c r="B22" s="4">
        <v>1620</v>
      </c>
      <c r="C22" s="4">
        <v>21</v>
      </c>
      <c r="D22" s="4">
        <v>1620</v>
      </c>
    </row>
    <row r="23" spans="1:4" x14ac:dyDescent="0.35">
      <c r="A23" s="4">
        <v>3000</v>
      </c>
      <c r="B23" s="4">
        <v>1800</v>
      </c>
      <c r="C23" s="4">
        <v>22</v>
      </c>
      <c r="D23" s="4">
        <v>1800</v>
      </c>
    </row>
    <row r="24" spans="1:4" x14ac:dyDescent="0.35">
      <c r="A24" s="4">
        <v>3500</v>
      </c>
      <c r="B24" s="4">
        <v>2100</v>
      </c>
      <c r="C24" s="4">
        <v>23</v>
      </c>
      <c r="D24" s="4">
        <v>2100</v>
      </c>
    </row>
    <row r="25" spans="1:4" x14ac:dyDescent="0.35">
      <c r="A25" s="4">
        <v>3600</v>
      </c>
      <c r="B25" s="4">
        <v>2160</v>
      </c>
      <c r="C25" s="4">
        <v>24</v>
      </c>
      <c r="D25" s="4">
        <v>2160</v>
      </c>
    </row>
    <row r="26" spans="1:4" x14ac:dyDescent="0.35">
      <c r="A26" s="4">
        <v>4000</v>
      </c>
      <c r="B26" s="4">
        <v>2400</v>
      </c>
      <c r="C26" s="4">
        <v>25</v>
      </c>
      <c r="D26" s="4">
        <v>2400</v>
      </c>
    </row>
    <row r="27" spans="1:4" x14ac:dyDescent="0.35">
      <c r="A27" s="4">
        <v>4500</v>
      </c>
      <c r="B27" s="4">
        <v>2700</v>
      </c>
      <c r="C27" s="4">
        <v>26</v>
      </c>
      <c r="D27" s="4">
        <v>2700</v>
      </c>
    </row>
    <row r="28" spans="1:4" x14ac:dyDescent="0.35">
      <c r="A28" s="4">
        <v>5000</v>
      </c>
      <c r="B28" s="4">
        <v>3000</v>
      </c>
      <c r="C28" s="4">
        <v>27</v>
      </c>
      <c r="D28" s="4">
        <v>3000</v>
      </c>
    </row>
    <row r="29" spans="1:4" x14ac:dyDescent="0.35">
      <c r="A29" s="4">
        <v>6000</v>
      </c>
      <c r="B29" s="4">
        <v>3600</v>
      </c>
      <c r="C29" s="4">
        <v>28</v>
      </c>
      <c r="D29" s="4">
        <v>3600</v>
      </c>
    </row>
    <row r="30" spans="1:4" x14ac:dyDescent="0.35">
      <c r="A30" s="4">
        <v>6500</v>
      </c>
      <c r="B30" s="4">
        <v>3900</v>
      </c>
      <c r="C30" s="4">
        <v>29</v>
      </c>
      <c r="D30" s="4">
        <v>3900</v>
      </c>
    </row>
    <row r="31" spans="1:4" x14ac:dyDescent="0.35">
      <c r="A31" s="4">
        <v>7000</v>
      </c>
      <c r="B31" s="4">
        <v>4200</v>
      </c>
      <c r="C31" s="4">
        <v>30</v>
      </c>
      <c r="D31" s="4">
        <v>4200</v>
      </c>
    </row>
    <row r="32" spans="1:4" x14ac:dyDescent="0.35">
      <c r="A32" s="4">
        <v>7500</v>
      </c>
      <c r="B32" s="4">
        <v>4500</v>
      </c>
      <c r="C32" s="4">
        <v>31</v>
      </c>
      <c r="D32" s="4">
        <v>4500</v>
      </c>
    </row>
    <row r="33" spans="1:4" x14ac:dyDescent="0.35">
      <c r="A33" s="4">
        <v>8000</v>
      </c>
      <c r="B33" s="4">
        <v>4800</v>
      </c>
      <c r="C33" s="4">
        <v>32</v>
      </c>
      <c r="D33" s="4">
        <v>4800</v>
      </c>
    </row>
    <row r="34" spans="1:4" x14ac:dyDescent="0.35">
      <c r="A34" s="4">
        <v>9000</v>
      </c>
      <c r="B34" s="4">
        <v>5400</v>
      </c>
      <c r="C34" s="4">
        <v>33</v>
      </c>
      <c r="D34" s="4">
        <v>5400</v>
      </c>
    </row>
    <row r="35" spans="1:4" x14ac:dyDescent="0.35">
      <c r="A35" s="4">
        <v>10000</v>
      </c>
      <c r="B35" s="4">
        <v>6000</v>
      </c>
      <c r="C35" s="4">
        <v>34</v>
      </c>
      <c r="D35" s="4">
        <v>6000</v>
      </c>
    </row>
    <row r="36" spans="1:4" x14ac:dyDescent="0.35">
      <c r="A36" s="4">
        <v>11000</v>
      </c>
      <c r="B36" s="4">
        <v>6600</v>
      </c>
      <c r="C36" s="4">
        <v>35</v>
      </c>
      <c r="D36" s="4">
        <v>6600</v>
      </c>
    </row>
    <row r="37" spans="1:4" x14ac:dyDescent="0.35">
      <c r="A37" s="4">
        <v>12000</v>
      </c>
      <c r="B37" s="4">
        <v>7200</v>
      </c>
      <c r="C37" s="4">
        <v>36</v>
      </c>
      <c r="D37" s="4">
        <v>7200</v>
      </c>
    </row>
    <row r="38" spans="1:4" x14ac:dyDescent="0.35">
      <c r="A38" s="4">
        <v>12500</v>
      </c>
      <c r="B38" s="4">
        <v>7500</v>
      </c>
      <c r="C38" s="4">
        <v>37</v>
      </c>
      <c r="D38" s="4">
        <v>7500</v>
      </c>
    </row>
    <row r="39" spans="1:4" x14ac:dyDescent="0.35">
      <c r="A39" s="4">
        <v>14000</v>
      </c>
      <c r="B39" s="4">
        <v>8400</v>
      </c>
      <c r="C39" s="4">
        <v>38</v>
      </c>
      <c r="D39" s="4">
        <v>8400</v>
      </c>
    </row>
    <row r="40" spans="1:4" x14ac:dyDescent="0.35">
      <c r="A40" s="4">
        <v>15000</v>
      </c>
      <c r="B40" s="4">
        <v>9000</v>
      </c>
      <c r="C40" s="4">
        <v>39</v>
      </c>
      <c r="D40" s="4">
        <v>9000</v>
      </c>
    </row>
    <row r="41" spans="1:4" x14ac:dyDescent="0.35">
      <c r="A41" s="4">
        <v>16000</v>
      </c>
      <c r="B41" s="4">
        <v>9600</v>
      </c>
      <c r="C41" s="4">
        <v>40</v>
      </c>
      <c r="D41" s="4">
        <v>9600</v>
      </c>
    </row>
    <row r="42" spans="1:4" x14ac:dyDescent="0.35">
      <c r="A42" s="4">
        <v>18000</v>
      </c>
      <c r="B42" s="4">
        <v>10800</v>
      </c>
      <c r="C42" s="4">
        <v>41</v>
      </c>
      <c r="D42" s="4">
        <v>10800</v>
      </c>
    </row>
    <row r="43" spans="1:4" x14ac:dyDescent="0.35">
      <c r="A43" s="4">
        <v>20000</v>
      </c>
      <c r="B43" s="4">
        <v>12000</v>
      </c>
      <c r="C43" s="4">
        <v>42</v>
      </c>
      <c r="D43" s="4">
        <v>12000</v>
      </c>
    </row>
    <row r="44" spans="1:4" x14ac:dyDescent="0.35">
      <c r="A44" s="4">
        <v>21000</v>
      </c>
      <c r="B44" s="4">
        <v>12600</v>
      </c>
      <c r="C44" s="4">
        <v>43</v>
      </c>
      <c r="D44" s="4">
        <v>12600</v>
      </c>
    </row>
    <row r="45" spans="1:4" x14ac:dyDescent="0.35">
      <c r="A45" s="4">
        <v>22000</v>
      </c>
      <c r="B45" s="4">
        <v>13200</v>
      </c>
      <c r="C45" s="4">
        <v>44</v>
      </c>
      <c r="D45" s="4">
        <v>13200</v>
      </c>
    </row>
    <row r="46" spans="1:4" x14ac:dyDescent="0.35">
      <c r="A46" s="4">
        <v>23000</v>
      </c>
      <c r="B46" s="4">
        <v>13800</v>
      </c>
      <c r="C46" s="4">
        <v>45</v>
      </c>
      <c r="D46" s="4">
        <v>13800</v>
      </c>
    </row>
    <row r="47" spans="1:4" x14ac:dyDescent="0.35">
      <c r="A47" s="4">
        <v>24000</v>
      </c>
      <c r="B47" s="4">
        <v>14400</v>
      </c>
      <c r="C47" s="4">
        <v>46</v>
      </c>
      <c r="D47" s="4">
        <v>14400</v>
      </c>
    </row>
    <row r="48" spans="1:4" x14ac:dyDescent="0.35">
      <c r="A48" s="4">
        <v>25000</v>
      </c>
      <c r="B48" s="4">
        <v>15000</v>
      </c>
      <c r="C48" s="4">
        <v>47</v>
      </c>
      <c r="D48" s="4">
        <v>15000</v>
      </c>
    </row>
    <row r="49" spans="1:4" x14ac:dyDescent="0.35">
      <c r="A49" s="4">
        <v>28000</v>
      </c>
      <c r="B49" s="4">
        <v>16800</v>
      </c>
      <c r="C49" s="4">
        <v>48</v>
      </c>
      <c r="D49" s="4">
        <v>16800</v>
      </c>
    </row>
    <row r="50" spans="1:4" x14ac:dyDescent="0.35">
      <c r="A50" s="4">
        <v>30000</v>
      </c>
      <c r="B50" s="4">
        <v>18000</v>
      </c>
      <c r="C50" s="4">
        <v>49</v>
      </c>
      <c r="D50" s="4">
        <v>18000</v>
      </c>
    </row>
    <row r="51" spans="1:4" x14ac:dyDescent="0.35">
      <c r="A51" s="4">
        <v>32000</v>
      </c>
      <c r="B51" s="4">
        <v>19200</v>
      </c>
      <c r="C51" s="4">
        <v>50</v>
      </c>
      <c r="D51" s="4">
        <v>19200</v>
      </c>
    </row>
    <row r="52" spans="1:4" x14ac:dyDescent="0.35">
      <c r="A52" s="4">
        <v>33000</v>
      </c>
      <c r="B52" s="4">
        <v>19800</v>
      </c>
      <c r="C52" s="4">
        <v>51</v>
      </c>
      <c r="D52" s="4">
        <v>19800</v>
      </c>
    </row>
    <row r="53" spans="1:4" x14ac:dyDescent="0.35">
      <c r="A53" s="4">
        <v>34000</v>
      </c>
      <c r="B53" s="4">
        <v>20400</v>
      </c>
      <c r="C53" s="4">
        <v>52</v>
      </c>
      <c r="D53" s="4">
        <v>20400</v>
      </c>
    </row>
    <row r="54" spans="1:4" x14ac:dyDescent="0.35">
      <c r="A54" s="4">
        <v>35000</v>
      </c>
      <c r="B54" s="4">
        <v>21000</v>
      </c>
      <c r="C54" s="4">
        <v>53</v>
      </c>
      <c r="D54" s="4">
        <v>21000</v>
      </c>
    </row>
    <row r="55" spans="1:4" x14ac:dyDescent="0.35">
      <c r="A55" s="4">
        <v>36000</v>
      </c>
      <c r="B55" s="4">
        <v>21600</v>
      </c>
      <c r="C55" s="4">
        <v>54</v>
      </c>
      <c r="D55" s="4">
        <v>21600</v>
      </c>
    </row>
    <row r="56" spans="1:4" x14ac:dyDescent="0.35">
      <c r="A56" s="4">
        <v>38000</v>
      </c>
      <c r="B56" s="4">
        <v>22800</v>
      </c>
      <c r="C56" s="4">
        <v>55</v>
      </c>
      <c r="D56" s="4">
        <v>22800</v>
      </c>
    </row>
    <row r="57" spans="1:4" x14ac:dyDescent="0.35">
      <c r="A57" s="4">
        <v>40000</v>
      </c>
      <c r="B57" s="4">
        <v>24000</v>
      </c>
      <c r="C57" s="4">
        <v>56</v>
      </c>
      <c r="D57" s="4">
        <v>24000</v>
      </c>
    </row>
    <row r="58" spans="1:4" x14ac:dyDescent="0.35">
      <c r="A58" s="4">
        <v>42000</v>
      </c>
      <c r="B58" s="4">
        <v>25200</v>
      </c>
      <c r="C58" s="4">
        <v>57</v>
      </c>
      <c r="D58" s="4">
        <v>25200</v>
      </c>
    </row>
    <row r="59" spans="1:4" x14ac:dyDescent="0.35">
      <c r="A59" s="4">
        <v>45000</v>
      </c>
      <c r="B59" s="4">
        <v>27000</v>
      </c>
      <c r="C59" s="4">
        <v>58</v>
      </c>
      <c r="D59" s="4">
        <v>27000</v>
      </c>
    </row>
    <row r="60" spans="1:4" x14ac:dyDescent="0.35">
      <c r="A60" s="4">
        <v>47000</v>
      </c>
      <c r="B60" s="4">
        <v>28200</v>
      </c>
      <c r="C60" s="4">
        <v>59</v>
      </c>
      <c r="D60" s="4">
        <v>28200</v>
      </c>
    </row>
    <row r="61" spans="1:4" x14ac:dyDescent="0.35">
      <c r="A61" s="4">
        <v>50000</v>
      </c>
      <c r="B61" s="4">
        <v>30000</v>
      </c>
      <c r="C61" s="4">
        <v>60</v>
      </c>
      <c r="D61" s="4">
        <v>30000</v>
      </c>
    </row>
    <row r="62" spans="1:4" x14ac:dyDescent="0.35">
      <c r="A62" s="4">
        <v>52000</v>
      </c>
      <c r="B62" s="4">
        <v>31200</v>
      </c>
      <c r="C62" s="4">
        <v>61</v>
      </c>
      <c r="D62" s="4">
        <v>31200</v>
      </c>
    </row>
    <row r="63" spans="1:4" x14ac:dyDescent="0.35">
      <c r="A63" s="4">
        <v>58000</v>
      </c>
      <c r="B63" s="4">
        <v>34800</v>
      </c>
      <c r="C63" s="4">
        <v>62</v>
      </c>
      <c r="D63" s="4">
        <v>34800</v>
      </c>
    </row>
    <row r="64" spans="1:4" x14ac:dyDescent="0.35">
      <c r="A64" s="4">
        <v>65000</v>
      </c>
      <c r="B64" s="4">
        <v>39000</v>
      </c>
      <c r="C64" s="4">
        <v>63</v>
      </c>
      <c r="D64" s="4">
        <v>39000</v>
      </c>
    </row>
    <row r="65" spans="1:4" x14ac:dyDescent="0.35">
      <c r="A65" s="4">
        <v>70000</v>
      </c>
      <c r="B65" s="4">
        <v>42000</v>
      </c>
      <c r="C65" s="4">
        <v>64</v>
      </c>
      <c r="D65" s="4">
        <v>42000</v>
      </c>
    </row>
    <row r="66" spans="1:4" x14ac:dyDescent="0.35">
      <c r="A66" s="4">
        <v>72000</v>
      </c>
      <c r="B66" s="4">
        <v>43200</v>
      </c>
      <c r="C66" s="4">
        <v>65</v>
      </c>
      <c r="D66" s="4">
        <v>43200</v>
      </c>
    </row>
    <row r="67" spans="1:4" x14ac:dyDescent="0.35">
      <c r="A67" s="4">
        <v>80000</v>
      </c>
      <c r="B67" s="4">
        <v>48000</v>
      </c>
      <c r="C67" s="4">
        <v>66</v>
      </c>
      <c r="D67" s="4">
        <v>48000</v>
      </c>
    </row>
    <row r="68" spans="1:4" x14ac:dyDescent="0.35">
      <c r="A68" s="4">
        <v>85000</v>
      </c>
      <c r="B68" s="4">
        <v>51000</v>
      </c>
      <c r="C68" s="4">
        <v>67</v>
      </c>
      <c r="D68" s="4">
        <v>51000</v>
      </c>
    </row>
    <row r="69" spans="1:4" x14ac:dyDescent="0.35">
      <c r="A69" s="4">
        <v>90000</v>
      </c>
      <c r="B69" s="4">
        <v>54000</v>
      </c>
      <c r="C69" s="4">
        <v>68</v>
      </c>
      <c r="D69" s="4">
        <v>54000</v>
      </c>
    </row>
    <row r="70" spans="1:4" x14ac:dyDescent="0.35">
      <c r="A70" s="4">
        <v>96000</v>
      </c>
      <c r="B70" s="4">
        <v>57600</v>
      </c>
      <c r="C70" s="4">
        <v>69</v>
      </c>
      <c r="D70" s="4">
        <v>57600</v>
      </c>
    </row>
    <row r="71" spans="1:4" x14ac:dyDescent="0.35">
      <c r="A71" s="4">
        <v>100000</v>
      </c>
      <c r="B71" s="4">
        <v>60000</v>
      </c>
      <c r="C71" s="4">
        <v>70</v>
      </c>
      <c r="D71" s="4">
        <v>60000</v>
      </c>
    </row>
    <row r="72" spans="1:4" x14ac:dyDescent="0.35">
      <c r="A72" s="4">
        <v>110000</v>
      </c>
      <c r="B72" s="4">
        <v>66000</v>
      </c>
      <c r="C72" s="4">
        <v>71</v>
      </c>
      <c r="D72" s="4">
        <v>66000</v>
      </c>
    </row>
    <row r="73" spans="1:4" x14ac:dyDescent="0.35">
      <c r="A73" s="4">
        <v>120000</v>
      </c>
      <c r="B73" s="4">
        <v>72000</v>
      </c>
      <c r="C73" s="4">
        <v>72</v>
      </c>
      <c r="D73" s="4">
        <v>72000</v>
      </c>
    </row>
    <row r="74" spans="1:4" x14ac:dyDescent="0.35">
      <c r="A74" s="4">
        <v>130000</v>
      </c>
      <c r="B74" s="4">
        <v>78000</v>
      </c>
      <c r="C74" s="4">
        <v>73</v>
      </c>
      <c r="D74" s="4">
        <v>78000</v>
      </c>
    </row>
    <row r="75" spans="1:4" x14ac:dyDescent="0.35">
      <c r="A75" s="4">
        <v>140000</v>
      </c>
      <c r="B75" s="4">
        <v>84000</v>
      </c>
      <c r="C75" s="4">
        <v>74</v>
      </c>
      <c r="D75" s="4">
        <v>84000</v>
      </c>
    </row>
    <row r="76" spans="1:4" x14ac:dyDescent="0.35">
      <c r="A76" s="4">
        <v>150000</v>
      </c>
      <c r="B76" s="4">
        <v>90000</v>
      </c>
      <c r="C76" s="4">
        <v>75</v>
      </c>
      <c r="D76" s="4">
        <v>90000</v>
      </c>
    </row>
    <row r="77" spans="1:4" x14ac:dyDescent="0.35">
      <c r="A77" s="4">
        <v>160000</v>
      </c>
      <c r="B77" s="4">
        <v>96000</v>
      </c>
      <c r="C77" s="4">
        <v>76</v>
      </c>
      <c r="D77" s="4">
        <v>96000</v>
      </c>
    </row>
    <row r="78" spans="1:4" x14ac:dyDescent="0.35">
      <c r="A78" s="4">
        <v>170000</v>
      </c>
      <c r="B78" s="4">
        <v>102000</v>
      </c>
      <c r="C78" s="4">
        <v>77</v>
      </c>
      <c r="D78" s="4">
        <v>102000</v>
      </c>
    </row>
    <row r="79" spans="1:4" x14ac:dyDescent="0.35">
      <c r="A79" s="4">
        <v>180000</v>
      </c>
      <c r="B79" s="4">
        <v>108000</v>
      </c>
      <c r="C79" s="4">
        <v>78</v>
      </c>
      <c r="D79" s="4">
        <v>108000</v>
      </c>
    </row>
    <row r="80" spans="1:4" x14ac:dyDescent="0.35">
      <c r="A80" s="4">
        <v>200000</v>
      </c>
      <c r="B80" s="4">
        <v>120000</v>
      </c>
      <c r="C80" s="4">
        <v>79</v>
      </c>
      <c r="D80" s="4">
        <v>120000</v>
      </c>
    </row>
    <row r="81" spans="1:4" x14ac:dyDescent="0.35">
      <c r="A81" s="4">
        <v>210000</v>
      </c>
      <c r="B81" s="4">
        <v>126000</v>
      </c>
      <c r="C81" s="4">
        <v>80</v>
      </c>
      <c r="D81" s="4">
        <v>126000</v>
      </c>
    </row>
    <row r="82" spans="1:4" x14ac:dyDescent="0.35">
      <c r="A82" s="4">
        <v>220000</v>
      </c>
      <c r="B82" s="4">
        <v>132000</v>
      </c>
      <c r="C82" s="4">
        <v>81</v>
      </c>
      <c r="D82" s="4">
        <v>132000</v>
      </c>
    </row>
    <row r="83" spans="1:4" x14ac:dyDescent="0.35">
      <c r="A83" s="4">
        <v>230000</v>
      </c>
      <c r="B83" s="4">
        <v>138000</v>
      </c>
      <c r="C83" s="4">
        <v>82</v>
      </c>
      <c r="D83" s="4">
        <v>138000</v>
      </c>
    </row>
    <row r="84" spans="1:4" x14ac:dyDescent="0.35">
      <c r="A84" s="4">
        <v>240000</v>
      </c>
      <c r="B84" s="4">
        <v>144000</v>
      </c>
      <c r="C84" s="4">
        <v>83</v>
      </c>
      <c r="D84" s="4">
        <v>144000</v>
      </c>
    </row>
    <row r="85" spans="1:4" x14ac:dyDescent="0.35">
      <c r="A85" s="4">
        <v>250000</v>
      </c>
      <c r="B85" s="4">
        <v>150000</v>
      </c>
      <c r="C85" s="4">
        <v>84</v>
      </c>
      <c r="D85" s="4">
        <v>150000</v>
      </c>
    </row>
    <row r="86" spans="1:4" x14ac:dyDescent="0.35">
      <c r="A86" s="4">
        <v>260000</v>
      </c>
      <c r="B86" s="4">
        <v>156000</v>
      </c>
      <c r="C86" s="4">
        <v>85</v>
      </c>
      <c r="D86" s="4">
        <v>156000</v>
      </c>
    </row>
    <row r="87" spans="1:4" x14ac:dyDescent="0.35">
      <c r="A87" s="4">
        <v>280000</v>
      </c>
      <c r="B87" s="4">
        <v>168000</v>
      </c>
      <c r="C87" s="4">
        <v>86</v>
      </c>
      <c r="D87" s="4">
        <v>168000</v>
      </c>
    </row>
    <row r="88" spans="1:4" x14ac:dyDescent="0.35">
      <c r="A88" s="4">
        <v>300000</v>
      </c>
      <c r="B88" s="4">
        <v>180000</v>
      </c>
      <c r="C88" s="4">
        <v>87</v>
      </c>
      <c r="D88" s="4">
        <v>180000</v>
      </c>
    </row>
    <row r="89" spans="1:4" x14ac:dyDescent="0.35">
      <c r="A89" s="4">
        <v>320000</v>
      </c>
      <c r="B89" s="4">
        <v>192000</v>
      </c>
      <c r="C89" s="4">
        <v>88</v>
      </c>
      <c r="D89" s="4">
        <v>192000</v>
      </c>
    </row>
    <row r="90" spans="1:4" x14ac:dyDescent="0.35">
      <c r="A90" s="4">
        <v>330000</v>
      </c>
      <c r="B90" s="4">
        <v>198000</v>
      </c>
      <c r="C90" s="4">
        <v>89</v>
      </c>
      <c r="D90" s="4">
        <v>198000</v>
      </c>
    </row>
    <row r="91" spans="1:4" x14ac:dyDescent="0.35">
      <c r="A91" s="4">
        <v>340000</v>
      </c>
      <c r="B91" s="4">
        <v>204000</v>
      </c>
      <c r="C91" s="4">
        <v>90</v>
      </c>
      <c r="D91" s="4">
        <v>204000</v>
      </c>
    </row>
    <row r="92" spans="1:4" x14ac:dyDescent="0.35">
      <c r="A92" s="4">
        <v>350000</v>
      </c>
      <c r="B92" s="4">
        <v>210000</v>
      </c>
      <c r="C92" s="4">
        <v>91</v>
      </c>
      <c r="D92" s="4">
        <v>210000</v>
      </c>
    </row>
    <row r="93" spans="1:4" x14ac:dyDescent="0.35">
      <c r="A93" s="4">
        <v>360000</v>
      </c>
      <c r="B93" s="4">
        <v>216000</v>
      </c>
      <c r="C93" s="4">
        <v>92</v>
      </c>
      <c r="D93" s="4">
        <v>216000</v>
      </c>
    </row>
    <row r="94" spans="1:4" x14ac:dyDescent="0.35">
      <c r="A94" s="4">
        <v>370000</v>
      </c>
      <c r="B94" s="4">
        <v>222000</v>
      </c>
      <c r="C94" s="4">
        <v>93</v>
      </c>
      <c r="D94" s="4">
        <v>222000</v>
      </c>
    </row>
    <row r="95" spans="1:4" x14ac:dyDescent="0.35">
      <c r="A95" s="4">
        <v>380000</v>
      </c>
      <c r="B95" s="4">
        <v>228000</v>
      </c>
      <c r="C95" s="4">
        <v>94</v>
      </c>
      <c r="D95" s="4">
        <v>228000</v>
      </c>
    </row>
    <row r="96" spans="1:4" x14ac:dyDescent="0.35">
      <c r="A96" s="4">
        <v>400000</v>
      </c>
      <c r="B96" s="4">
        <v>240000</v>
      </c>
      <c r="C96" s="4">
        <v>95</v>
      </c>
      <c r="D96" s="4">
        <v>240000</v>
      </c>
    </row>
    <row r="97" spans="1:4" x14ac:dyDescent="0.35">
      <c r="A97" s="4">
        <v>420000</v>
      </c>
      <c r="B97" s="4">
        <v>252000</v>
      </c>
      <c r="C97" s="4">
        <v>96</v>
      </c>
      <c r="D97" s="4">
        <v>252000</v>
      </c>
    </row>
    <row r="98" spans="1:4" x14ac:dyDescent="0.35">
      <c r="A98" s="4">
        <v>430000</v>
      </c>
      <c r="B98" s="4">
        <v>258000</v>
      </c>
      <c r="C98" s="4">
        <v>97</v>
      </c>
      <c r="D98" s="4">
        <v>258000</v>
      </c>
    </row>
    <row r="99" spans="1:4" x14ac:dyDescent="0.35">
      <c r="A99" s="4">
        <v>450000</v>
      </c>
      <c r="B99" s="4">
        <v>270000</v>
      </c>
      <c r="C99" s="4">
        <v>98</v>
      </c>
      <c r="D99" s="4">
        <v>270000</v>
      </c>
    </row>
    <row r="100" spans="1:4" x14ac:dyDescent="0.35">
      <c r="A100" s="4">
        <v>460000</v>
      </c>
      <c r="B100" s="4">
        <v>276000</v>
      </c>
      <c r="C100" s="4">
        <v>99</v>
      </c>
      <c r="D100" s="4">
        <v>276000</v>
      </c>
    </row>
    <row r="101" spans="1:4" x14ac:dyDescent="0.35">
      <c r="A101" s="4">
        <v>470000</v>
      </c>
      <c r="B101" s="4">
        <v>282000</v>
      </c>
      <c r="C101" s="4">
        <v>100</v>
      </c>
      <c r="D101" s="4">
        <v>282000</v>
      </c>
    </row>
    <row r="102" spans="1:4" x14ac:dyDescent="0.35">
      <c r="A102" s="4">
        <v>480000</v>
      </c>
      <c r="B102" s="4">
        <v>288000</v>
      </c>
      <c r="C102" s="4">
        <v>101</v>
      </c>
      <c r="D102" s="4">
        <v>288000</v>
      </c>
    </row>
    <row r="103" spans="1:4" x14ac:dyDescent="0.35">
      <c r="A103" s="4">
        <v>500000</v>
      </c>
      <c r="B103" s="4">
        <v>300000</v>
      </c>
      <c r="C103" s="4">
        <v>102</v>
      </c>
      <c r="D103" s="4">
        <v>300000</v>
      </c>
    </row>
    <row r="104" spans="1:4" x14ac:dyDescent="0.35">
      <c r="A104" s="4">
        <v>520000</v>
      </c>
      <c r="B104" s="4">
        <v>312000</v>
      </c>
      <c r="C104" s="4">
        <v>103</v>
      </c>
      <c r="D104" s="4">
        <v>312000</v>
      </c>
    </row>
    <row r="105" spans="1:4" x14ac:dyDescent="0.35">
      <c r="A105" s="4">
        <v>540000</v>
      </c>
      <c r="B105" s="4">
        <v>324000</v>
      </c>
      <c r="C105" s="4">
        <v>104</v>
      </c>
      <c r="D105" s="4">
        <v>324000</v>
      </c>
    </row>
    <row r="106" spans="1:4" x14ac:dyDescent="0.35">
      <c r="A106" s="4">
        <v>550000</v>
      </c>
      <c r="B106" s="4">
        <v>330000</v>
      </c>
      <c r="C106" s="4">
        <v>105</v>
      </c>
      <c r="D106" s="4">
        <v>330000</v>
      </c>
    </row>
    <row r="107" spans="1:4" x14ac:dyDescent="0.35">
      <c r="A107" s="4">
        <v>570000</v>
      </c>
      <c r="B107" s="4">
        <v>342000</v>
      </c>
      <c r="C107" s="4">
        <v>106</v>
      </c>
      <c r="D107" s="4">
        <v>342000</v>
      </c>
    </row>
    <row r="108" spans="1:4" x14ac:dyDescent="0.35">
      <c r="A108" s="4">
        <v>580000</v>
      </c>
      <c r="B108" s="4">
        <v>348000</v>
      </c>
      <c r="C108" s="4">
        <v>107</v>
      </c>
      <c r="D108" s="4">
        <v>348000</v>
      </c>
    </row>
    <row r="109" spans="1:4" x14ac:dyDescent="0.35">
      <c r="A109" s="4">
        <v>600000</v>
      </c>
      <c r="B109" s="4">
        <v>360000</v>
      </c>
      <c r="C109" s="4">
        <v>108</v>
      </c>
      <c r="D109" s="4">
        <v>360000</v>
      </c>
    </row>
    <row r="110" spans="1:4" x14ac:dyDescent="0.35">
      <c r="A110" s="4">
        <v>620000</v>
      </c>
      <c r="B110" s="4">
        <v>372000</v>
      </c>
      <c r="C110" s="4">
        <v>109</v>
      </c>
      <c r="D110" s="4">
        <v>372000</v>
      </c>
    </row>
    <row r="111" spans="1:4" x14ac:dyDescent="0.35">
      <c r="A111" s="4">
        <v>650000</v>
      </c>
      <c r="B111" s="4">
        <v>390000</v>
      </c>
      <c r="C111" s="4">
        <v>110</v>
      </c>
      <c r="D111" s="4">
        <v>390000</v>
      </c>
    </row>
    <row r="112" spans="1:4" x14ac:dyDescent="0.35">
      <c r="A112" s="4">
        <v>680000</v>
      </c>
      <c r="B112" s="4">
        <v>408000</v>
      </c>
      <c r="C112" s="4">
        <v>111</v>
      </c>
      <c r="D112" s="4">
        <v>408000</v>
      </c>
    </row>
    <row r="113" spans="1:4" x14ac:dyDescent="0.35">
      <c r="A113" s="4">
        <v>700000</v>
      </c>
      <c r="B113" s="4">
        <v>420000</v>
      </c>
      <c r="C113" s="4">
        <v>112</v>
      </c>
      <c r="D113" s="4">
        <v>420000</v>
      </c>
    </row>
    <row r="114" spans="1:4" x14ac:dyDescent="0.35">
      <c r="A114" s="4">
        <v>720000</v>
      </c>
      <c r="B114" s="4">
        <v>432000</v>
      </c>
      <c r="C114" s="4">
        <v>113</v>
      </c>
      <c r="D114" s="4">
        <v>432000</v>
      </c>
    </row>
    <row r="115" spans="1:4" x14ac:dyDescent="0.35">
      <c r="A115" s="4">
        <v>750000</v>
      </c>
      <c r="B115" s="4">
        <v>450000</v>
      </c>
      <c r="C115" s="4">
        <v>114</v>
      </c>
      <c r="D115" s="4">
        <v>450000</v>
      </c>
    </row>
    <row r="116" spans="1:4" x14ac:dyDescent="0.35">
      <c r="A116" s="4">
        <v>760000</v>
      </c>
      <c r="B116" s="4">
        <v>456000</v>
      </c>
      <c r="C116" s="4">
        <v>115</v>
      </c>
      <c r="D116" s="4">
        <v>456000</v>
      </c>
    </row>
    <row r="117" spans="1:4" x14ac:dyDescent="0.35">
      <c r="A117" s="4">
        <v>780000</v>
      </c>
      <c r="B117" s="4">
        <v>468000</v>
      </c>
      <c r="C117" s="4">
        <v>116</v>
      </c>
      <c r="D117" s="4">
        <v>468000</v>
      </c>
    </row>
    <row r="118" spans="1:4" x14ac:dyDescent="0.35">
      <c r="A118" s="4">
        <v>800000</v>
      </c>
      <c r="B118" s="4">
        <v>480000</v>
      </c>
      <c r="C118" s="4">
        <v>117</v>
      </c>
      <c r="D118" s="4">
        <v>480000</v>
      </c>
    </row>
    <row r="119" spans="1:4" x14ac:dyDescent="0.35">
      <c r="A119" s="4">
        <v>820000</v>
      </c>
      <c r="B119" s="4">
        <v>492000</v>
      </c>
      <c r="C119" s="4">
        <v>118</v>
      </c>
      <c r="D119" s="4">
        <v>492000</v>
      </c>
    </row>
    <row r="120" spans="1:4" x14ac:dyDescent="0.35">
      <c r="A120" s="4">
        <v>850000</v>
      </c>
      <c r="B120" s="4">
        <v>510000</v>
      </c>
      <c r="C120" s="4">
        <v>119</v>
      </c>
      <c r="D120" s="4">
        <v>510000</v>
      </c>
    </row>
    <row r="121" spans="1:4" x14ac:dyDescent="0.35">
      <c r="A121" s="4">
        <v>980000</v>
      </c>
      <c r="B121" s="4">
        <v>588000</v>
      </c>
      <c r="C121" s="4">
        <v>120</v>
      </c>
      <c r="D121" s="4">
        <v>588000</v>
      </c>
    </row>
    <row r="122" spans="1:4" x14ac:dyDescent="0.35">
      <c r="A122" s="4">
        <v>1000000</v>
      </c>
      <c r="B122" s="4">
        <v>600000</v>
      </c>
      <c r="C122" s="4">
        <v>121</v>
      </c>
      <c r="D122" s="4">
        <v>600000</v>
      </c>
    </row>
    <row r="123" spans="1:4" x14ac:dyDescent="0.35">
      <c r="A123" s="4">
        <v>1100000</v>
      </c>
      <c r="B123" s="4">
        <v>660000</v>
      </c>
      <c r="C123" s="4">
        <v>122</v>
      </c>
      <c r="D123" s="4">
        <v>660000</v>
      </c>
    </row>
    <row r="124" spans="1:4" x14ac:dyDescent="0.35">
      <c r="A124" s="4">
        <v>1300000</v>
      </c>
      <c r="B124" s="4">
        <v>780000</v>
      </c>
      <c r="C124" s="4">
        <v>123</v>
      </c>
      <c r="D124" s="4">
        <v>780000</v>
      </c>
    </row>
  </sheetData>
  <autoFilter ref="A1:D124" xr:uid="{74A09C34-5198-46F4-B4E8-47086069EB31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7B072-3D87-4B9D-85A5-C2894B9ED038}">
  <sheetPr codeName="Hoja17"/>
  <dimension ref="A1:J191"/>
  <sheetViews>
    <sheetView zoomScale="90" zoomScaleNormal="90" workbookViewId="0">
      <selection activeCell="C2" sqref="C2"/>
    </sheetView>
  </sheetViews>
  <sheetFormatPr baseColWidth="10" defaultRowHeight="14.5" x14ac:dyDescent="0.35"/>
  <cols>
    <col min="1" max="1" width="15.26953125" bestFit="1" customWidth="1"/>
    <col min="2" max="2" width="38" style="20" customWidth="1"/>
    <col min="3" max="3" width="14.26953125" style="20" customWidth="1"/>
    <col min="4" max="4" width="27.26953125" style="20" customWidth="1"/>
    <col min="5" max="5" width="27.54296875" style="21" bestFit="1" customWidth="1"/>
    <col min="6" max="6" width="25.81640625" style="21" bestFit="1" customWidth="1"/>
    <col min="7" max="7" width="34.54296875" style="21" bestFit="1" customWidth="1"/>
    <col min="8" max="8" width="16.26953125" style="21" customWidth="1"/>
    <col min="9" max="9" width="14" customWidth="1"/>
    <col min="10" max="10" width="13" bestFit="1" customWidth="1"/>
    <col min="256" max="256" width="15.26953125" bestFit="1" customWidth="1"/>
    <col min="257" max="257" width="38" customWidth="1"/>
    <col min="258" max="258" width="14.26953125" customWidth="1"/>
    <col min="259" max="259" width="27.26953125" customWidth="1"/>
    <col min="260" max="260" width="27.54296875" bestFit="1" customWidth="1"/>
    <col min="261" max="261" width="25.81640625" bestFit="1" customWidth="1"/>
    <col min="262" max="262" width="34.54296875" bestFit="1" customWidth="1"/>
    <col min="263" max="263" width="16.26953125" customWidth="1"/>
    <col min="264" max="264" width="14" customWidth="1"/>
    <col min="265" max="265" width="13" bestFit="1" customWidth="1"/>
    <col min="266" max="266" width="16" bestFit="1" customWidth="1"/>
    <col min="512" max="512" width="15.26953125" bestFit="1" customWidth="1"/>
    <col min="513" max="513" width="38" customWidth="1"/>
    <col min="514" max="514" width="14.26953125" customWidth="1"/>
    <col min="515" max="515" width="27.26953125" customWidth="1"/>
    <col min="516" max="516" width="27.54296875" bestFit="1" customWidth="1"/>
    <col min="517" max="517" width="25.81640625" bestFit="1" customWidth="1"/>
    <col min="518" max="518" width="34.54296875" bestFit="1" customWidth="1"/>
    <col min="519" max="519" width="16.26953125" customWidth="1"/>
    <col min="520" max="520" width="14" customWidth="1"/>
    <col min="521" max="521" width="13" bestFit="1" customWidth="1"/>
    <col min="522" max="522" width="16" bestFit="1" customWidth="1"/>
    <col min="768" max="768" width="15.26953125" bestFit="1" customWidth="1"/>
    <col min="769" max="769" width="38" customWidth="1"/>
    <col min="770" max="770" width="14.26953125" customWidth="1"/>
    <col min="771" max="771" width="27.26953125" customWidth="1"/>
    <col min="772" max="772" width="27.54296875" bestFit="1" customWidth="1"/>
    <col min="773" max="773" width="25.81640625" bestFit="1" customWidth="1"/>
    <col min="774" max="774" width="34.54296875" bestFit="1" customWidth="1"/>
    <col min="775" max="775" width="16.26953125" customWidth="1"/>
    <col min="776" max="776" width="14" customWidth="1"/>
    <col min="777" max="777" width="13" bestFit="1" customWidth="1"/>
    <col min="778" max="778" width="16" bestFit="1" customWidth="1"/>
    <col min="1024" max="1024" width="15.26953125" bestFit="1" customWidth="1"/>
    <col min="1025" max="1025" width="38" customWidth="1"/>
    <col min="1026" max="1026" width="14.26953125" customWidth="1"/>
    <col min="1027" max="1027" width="27.26953125" customWidth="1"/>
    <col min="1028" max="1028" width="27.54296875" bestFit="1" customWidth="1"/>
    <col min="1029" max="1029" width="25.81640625" bestFit="1" customWidth="1"/>
    <col min="1030" max="1030" width="34.54296875" bestFit="1" customWidth="1"/>
    <col min="1031" max="1031" width="16.26953125" customWidth="1"/>
    <col min="1032" max="1032" width="14" customWidth="1"/>
    <col min="1033" max="1033" width="13" bestFit="1" customWidth="1"/>
    <col min="1034" max="1034" width="16" bestFit="1" customWidth="1"/>
    <col min="1280" max="1280" width="15.26953125" bestFit="1" customWidth="1"/>
    <col min="1281" max="1281" width="38" customWidth="1"/>
    <col min="1282" max="1282" width="14.26953125" customWidth="1"/>
    <col min="1283" max="1283" width="27.26953125" customWidth="1"/>
    <col min="1284" max="1284" width="27.54296875" bestFit="1" customWidth="1"/>
    <col min="1285" max="1285" width="25.81640625" bestFit="1" customWidth="1"/>
    <col min="1286" max="1286" width="34.54296875" bestFit="1" customWidth="1"/>
    <col min="1287" max="1287" width="16.26953125" customWidth="1"/>
    <col min="1288" max="1288" width="14" customWidth="1"/>
    <col min="1289" max="1289" width="13" bestFit="1" customWidth="1"/>
    <col min="1290" max="1290" width="16" bestFit="1" customWidth="1"/>
    <col min="1536" max="1536" width="15.26953125" bestFit="1" customWidth="1"/>
    <col min="1537" max="1537" width="38" customWidth="1"/>
    <col min="1538" max="1538" width="14.26953125" customWidth="1"/>
    <col min="1539" max="1539" width="27.26953125" customWidth="1"/>
    <col min="1540" max="1540" width="27.54296875" bestFit="1" customWidth="1"/>
    <col min="1541" max="1541" width="25.81640625" bestFit="1" customWidth="1"/>
    <col min="1542" max="1542" width="34.54296875" bestFit="1" customWidth="1"/>
    <col min="1543" max="1543" width="16.26953125" customWidth="1"/>
    <col min="1544" max="1544" width="14" customWidth="1"/>
    <col min="1545" max="1545" width="13" bestFit="1" customWidth="1"/>
    <col min="1546" max="1546" width="16" bestFit="1" customWidth="1"/>
    <col min="1792" max="1792" width="15.26953125" bestFit="1" customWidth="1"/>
    <col min="1793" max="1793" width="38" customWidth="1"/>
    <col min="1794" max="1794" width="14.26953125" customWidth="1"/>
    <col min="1795" max="1795" width="27.26953125" customWidth="1"/>
    <col min="1796" max="1796" width="27.54296875" bestFit="1" customWidth="1"/>
    <col min="1797" max="1797" width="25.81640625" bestFit="1" customWidth="1"/>
    <col min="1798" max="1798" width="34.54296875" bestFit="1" customWidth="1"/>
    <col min="1799" max="1799" width="16.26953125" customWidth="1"/>
    <col min="1800" max="1800" width="14" customWidth="1"/>
    <col min="1801" max="1801" width="13" bestFit="1" customWidth="1"/>
    <col min="1802" max="1802" width="16" bestFit="1" customWidth="1"/>
    <col min="2048" max="2048" width="15.26953125" bestFit="1" customWidth="1"/>
    <col min="2049" max="2049" width="38" customWidth="1"/>
    <col min="2050" max="2050" width="14.26953125" customWidth="1"/>
    <col min="2051" max="2051" width="27.26953125" customWidth="1"/>
    <col min="2052" max="2052" width="27.54296875" bestFit="1" customWidth="1"/>
    <col min="2053" max="2053" width="25.81640625" bestFit="1" customWidth="1"/>
    <col min="2054" max="2054" width="34.54296875" bestFit="1" customWidth="1"/>
    <col min="2055" max="2055" width="16.26953125" customWidth="1"/>
    <col min="2056" max="2056" width="14" customWidth="1"/>
    <col min="2057" max="2057" width="13" bestFit="1" customWidth="1"/>
    <col min="2058" max="2058" width="16" bestFit="1" customWidth="1"/>
    <col min="2304" max="2304" width="15.26953125" bestFit="1" customWidth="1"/>
    <col min="2305" max="2305" width="38" customWidth="1"/>
    <col min="2306" max="2306" width="14.26953125" customWidth="1"/>
    <col min="2307" max="2307" width="27.26953125" customWidth="1"/>
    <col min="2308" max="2308" width="27.54296875" bestFit="1" customWidth="1"/>
    <col min="2309" max="2309" width="25.81640625" bestFit="1" customWidth="1"/>
    <col min="2310" max="2310" width="34.54296875" bestFit="1" customWidth="1"/>
    <col min="2311" max="2311" width="16.26953125" customWidth="1"/>
    <col min="2312" max="2312" width="14" customWidth="1"/>
    <col min="2313" max="2313" width="13" bestFit="1" customWidth="1"/>
    <col min="2314" max="2314" width="16" bestFit="1" customWidth="1"/>
    <col min="2560" max="2560" width="15.26953125" bestFit="1" customWidth="1"/>
    <col min="2561" max="2561" width="38" customWidth="1"/>
    <col min="2562" max="2562" width="14.26953125" customWidth="1"/>
    <col min="2563" max="2563" width="27.26953125" customWidth="1"/>
    <col min="2564" max="2564" width="27.54296875" bestFit="1" customWidth="1"/>
    <col min="2565" max="2565" width="25.81640625" bestFit="1" customWidth="1"/>
    <col min="2566" max="2566" width="34.54296875" bestFit="1" customWidth="1"/>
    <col min="2567" max="2567" width="16.26953125" customWidth="1"/>
    <col min="2568" max="2568" width="14" customWidth="1"/>
    <col min="2569" max="2569" width="13" bestFit="1" customWidth="1"/>
    <col min="2570" max="2570" width="16" bestFit="1" customWidth="1"/>
    <col min="2816" max="2816" width="15.26953125" bestFit="1" customWidth="1"/>
    <col min="2817" max="2817" width="38" customWidth="1"/>
    <col min="2818" max="2818" width="14.26953125" customWidth="1"/>
    <col min="2819" max="2819" width="27.26953125" customWidth="1"/>
    <col min="2820" max="2820" width="27.54296875" bestFit="1" customWidth="1"/>
    <col min="2821" max="2821" width="25.81640625" bestFit="1" customWidth="1"/>
    <col min="2822" max="2822" width="34.54296875" bestFit="1" customWidth="1"/>
    <col min="2823" max="2823" width="16.26953125" customWidth="1"/>
    <col min="2824" max="2824" width="14" customWidth="1"/>
    <col min="2825" max="2825" width="13" bestFit="1" customWidth="1"/>
    <col min="2826" max="2826" width="16" bestFit="1" customWidth="1"/>
    <col min="3072" max="3072" width="15.26953125" bestFit="1" customWidth="1"/>
    <col min="3073" max="3073" width="38" customWidth="1"/>
    <col min="3074" max="3074" width="14.26953125" customWidth="1"/>
    <col min="3075" max="3075" width="27.26953125" customWidth="1"/>
    <col min="3076" max="3076" width="27.54296875" bestFit="1" customWidth="1"/>
    <col min="3077" max="3077" width="25.81640625" bestFit="1" customWidth="1"/>
    <col min="3078" max="3078" width="34.54296875" bestFit="1" customWidth="1"/>
    <col min="3079" max="3079" width="16.26953125" customWidth="1"/>
    <col min="3080" max="3080" width="14" customWidth="1"/>
    <col min="3081" max="3081" width="13" bestFit="1" customWidth="1"/>
    <col min="3082" max="3082" width="16" bestFit="1" customWidth="1"/>
    <col min="3328" max="3328" width="15.26953125" bestFit="1" customWidth="1"/>
    <col min="3329" max="3329" width="38" customWidth="1"/>
    <col min="3330" max="3330" width="14.26953125" customWidth="1"/>
    <col min="3331" max="3331" width="27.26953125" customWidth="1"/>
    <col min="3332" max="3332" width="27.54296875" bestFit="1" customWidth="1"/>
    <col min="3333" max="3333" width="25.81640625" bestFit="1" customWidth="1"/>
    <col min="3334" max="3334" width="34.54296875" bestFit="1" customWidth="1"/>
    <col min="3335" max="3335" width="16.26953125" customWidth="1"/>
    <col min="3336" max="3336" width="14" customWidth="1"/>
    <col min="3337" max="3337" width="13" bestFit="1" customWidth="1"/>
    <col min="3338" max="3338" width="16" bestFit="1" customWidth="1"/>
    <col min="3584" max="3584" width="15.26953125" bestFit="1" customWidth="1"/>
    <col min="3585" max="3585" width="38" customWidth="1"/>
    <col min="3586" max="3586" width="14.26953125" customWidth="1"/>
    <col min="3587" max="3587" width="27.26953125" customWidth="1"/>
    <col min="3588" max="3588" width="27.54296875" bestFit="1" customWidth="1"/>
    <col min="3589" max="3589" width="25.81640625" bestFit="1" customWidth="1"/>
    <col min="3590" max="3590" width="34.54296875" bestFit="1" customWidth="1"/>
    <col min="3591" max="3591" width="16.26953125" customWidth="1"/>
    <col min="3592" max="3592" width="14" customWidth="1"/>
    <col min="3593" max="3593" width="13" bestFit="1" customWidth="1"/>
    <col min="3594" max="3594" width="16" bestFit="1" customWidth="1"/>
    <col min="3840" max="3840" width="15.26953125" bestFit="1" customWidth="1"/>
    <col min="3841" max="3841" width="38" customWidth="1"/>
    <col min="3842" max="3842" width="14.26953125" customWidth="1"/>
    <col min="3843" max="3843" width="27.26953125" customWidth="1"/>
    <col min="3844" max="3844" width="27.54296875" bestFit="1" customWidth="1"/>
    <col min="3845" max="3845" width="25.81640625" bestFit="1" customWidth="1"/>
    <col min="3846" max="3846" width="34.54296875" bestFit="1" customWidth="1"/>
    <col min="3847" max="3847" width="16.26953125" customWidth="1"/>
    <col min="3848" max="3848" width="14" customWidth="1"/>
    <col min="3849" max="3849" width="13" bestFit="1" customWidth="1"/>
    <col min="3850" max="3850" width="16" bestFit="1" customWidth="1"/>
    <col min="4096" max="4096" width="15.26953125" bestFit="1" customWidth="1"/>
    <col min="4097" max="4097" width="38" customWidth="1"/>
    <col min="4098" max="4098" width="14.26953125" customWidth="1"/>
    <col min="4099" max="4099" width="27.26953125" customWidth="1"/>
    <col min="4100" max="4100" width="27.54296875" bestFit="1" customWidth="1"/>
    <col min="4101" max="4101" width="25.81640625" bestFit="1" customWidth="1"/>
    <col min="4102" max="4102" width="34.54296875" bestFit="1" customWidth="1"/>
    <col min="4103" max="4103" width="16.26953125" customWidth="1"/>
    <col min="4104" max="4104" width="14" customWidth="1"/>
    <col min="4105" max="4105" width="13" bestFit="1" customWidth="1"/>
    <col min="4106" max="4106" width="16" bestFit="1" customWidth="1"/>
    <col min="4352" max="4352" width="15.26953125" bestFit="1" customWidth="1"/>
    <col min="4353" max="4353" width="38" customWidth="1"/>
    <col min="4354" max="4354" width="14.26953125" customWidth="1"/>
    <col min="4355" max="4355" width="27.26953125" customWidth="1"/>
    <col min="4356" max="4356" width="27.54296875" bestFit="1" customWidth="1"/>
    <col min="4357" max="4357" width="25.81640625" bestFit="1" customWidth="1"/>
    <col min="4358" max="4358" width="34.54296875" bestFit="1" customWidth="1"/>
    <col min="4359" max="4359" width="16.26953125" customWidth="1"/>
    <col min="4360" max="4360" width="14" customWidth="1"/>
    <col min="4361" max="4361" width="13" bestFit="1" customWidth="1"/>
    <col min="4362" max="4362" width="16" bestFit="1" customWidth="1"/>
    <col min="4608" max="4608" width="15.26953125" bestFit="1" customWidth="1"/>
    <col min="4609" max="4609" width="38" customWidth="1"/>
    <col min="4610" max="4610" width="14.26953125" customWidth="1"/>
    <col min="4611" max="4611" width="27.26953125" customWidth="1"/>
    <col min="4612" max="4612" width="27.54296875" bestFit="1" customWidth="1"/>
    <col min="4613" max="4613" width="25.81640625" bestFit="1" customWidth="1"/>
    <col min="4614" max="4614" width="34.54296875" bestFit="1" customWidth="1"/>
    <col min="4615" max="4615" width="16.26953125" customWidth="1"/>
    <col min="4616" max="4616" width="14" customWidth="1"/>
    <col min="4617" max="4617" width="13" bestFit="1" customWidth="1"/>
    <col min="4618" max="4618" width="16" bestFit="1" customWidth="1"/>
    <col min="4864" max="4864" width="15.26953125" bestFit="1" customWidth="1"/>
    <col min="4865" max="4865" width="38" customWidth="1"/>
    <col min="4866" max="4866" width="14.26953125" customWidth="1"/>
    <col min="4867" max="4867" width="27.26953125" customWidth="1"/>
    <col min="4868" max="4868" width="27.54296875" bestFit="1" customWidth="1"/>
    <col min="4869" max="4869" width="25.81640625" bestFit="1" customWidth="1"/>
    <col min="4870" max="4870" width="34.54296875" bestFit="1" customWidth="1"/>
    <col min="4871" max="4871" width="16.26953125" customWidth="1"/>
    <col min="4872" max="4872" width="14" customWidth="1"/>
    <col min="4873" max="4873" width="13" bestFit="1" customWidth="1"/>
    <col min="4874" max="4874" width="16" bestFit="1" customWidth="1"/>
    <col min="5120" max="5120" width="15.26953125" bestFit="1" customWidth="1"/>
    <col min="5121" max="5121" width="38" customWidth="1"/>
    <col min="5122" max="5122" width="14.26953125" customWidth="1"/>
    <col min="5123" max="5123" width="27.26953125" customWidth="1"/>
    <col min="5124" max="5124" width="27.54296875" bestFit="1" customWidth="1"/>
    <col min="5125" max="5125" width="25.81640625" bestFit="1" customWidth="1"/>
    <col min="5126" max="5126" width="34.54296875" bestFit="1" customWidth="1"/>
    <col min="5127" max="5127" width="16.26953125" customWidth="1"/>
    <col min="5128" max="5128" width="14" customWidth="1"/>
    <col min="5129" max="5129" width="13" bestFit="1" customWidth="1"/>
    <col min="5130" max="5130" width="16" bestFit="1" customWidth="1"/>
    <col min="5376" max="5376" width="15.26953125" bestFit="1" customWidth="1"/>
    <col min="5377" max="5377" width="38" customWidth="1"/>
    <col min="5378" max="5378" width="14.26953125" customWidth="1"/>
    <col min="5379" max="5379" width="27.26953125" customWidth="1"/>
    <col min="5380" max="5380" width="27.54296875" bestFit="1" customWidth="1"/>
    <col min="5381" max="5381" width="25.81640625" bestFit="1" customWidth="1"/>
    <col min="5382" max="5382" width="34.54296875" bestFit="1" customWidth="1"/>
    <col min="5383" max="5383" width="16.26953125" customWidth="1"/>
    <col min="5384" max="5384" width="14" customWidth="1"/>
    <col min="5385" max="5385" width="13" bestFit="1" customWidth="1"/>
    <col min="5386" max="5386" width="16" bestFit="1" customWidth="1"/>
    <col min="5632" max="5632" width="15.26953125" bestFit="1" customWidth="1"/>
    <col min="5633" max="5633" width="38" customWidth="1"/>
    <col min="5634" max="5634" width="14.26953125" customWidth="1"/>
    <col min="5635" max="5635" width="27.26953125" customWidth="1"/>
    <col min="5636" max="5636" width="27.54296875" bestFit="1" customWidth="1"/>
    <col min="5637" max="5637" width="25.81640625" bestFit="1" customWidth="1"/>
    <col min="5638" max="5638" width="34.54296875" bestFit="1" customWidth="1"/>
    <col min="5639" max="5639" width="16.26953125" customWidth="1"/>
    <col min="5640" max="5640" width="14" customWidth="1"/>
    <col min="5641" max="5641" width="13" bestFit="1" customWidth="1"/>
    <col min="5642" max="5642" width="16" bestFit="1" customWidth="1"/>
    <col min="5888" max="5888" width="15.26953125" bestFit="1" customWidth="1"/>
    <col min="5889" max="5889" width="38" customWidth="1"/>
    <col min="5890" max="5890" width="14.26953125" customWidth="1"/>
    <col min="5891" max="5891" width="27.26953125" customWidth="1"/>
    <col min="5892" max="5892" width="27.54296875" bestFit="1" customWidth="1"/>
    <col min="5893" max="5893" width="25.81640625" bestFit="1" customWidth="1"/>
    <col min="5894" max="5894" width="34.54296875" bestFit="1" customWidth="1"/>
    <col min="5895" max="5895" width="16.26953125" customWidth="1"/>
    <col min="5896" max="5896" width="14" customWidth="1"/>
    <col min="5897" max="5897" width="13" bestFit="1" customWidth="1"/>
    <col min="5898" max="5898" width="16" bestFit="1" customWidth="1"/>
    <col min="6144" max="6144" width="15.26953125" bestFit="1" customWidth="1"/>
    <col min="6145" max="6145" width="38" customWidth="1"/>
    <col min="6146" max="6146" width="14.26953125" customWidth="1"/>
    <col min="6147" max="6147" width="27.26953125" customWidth="1"/>
    <col min="6148" max="6148" width="27.54296875" bestFit="1" customWidth="1"/>
    <col min="6149" max="6149" width="25.81640625" bestFit="1" customWidth="1"/>
    <col min="6150" max="6150" width="34.54296875" bestFit="1" customWidth="1"/>
    <col min="6151" max="6151" width="16.26953125" customWidth="1"/>
    <col min="6152" max="6152" width="14" customWidth="1"/>
    <col min="6153" max="6153" width="13" bestFit="1" customWidth="1"/>
    <col min="6154" max="6154" width="16" bestFit="1" customWidth="1"/>
    <col min="6400" max="6400" width="15.26953125" bestFit="1" customWidth="1"/>
    <col min="6401" max="6401" width="38" customWidth="1"/>
    <col min="6402" max="6402" width="14.26953125" customWidth="1"/>
    <col min="6403" max="6403" width="27.26953125" customWidth="1"/>
    <col min="6404" max="6404" width="27.54296875" bestFit="1" customWidth="1"/>
    <col min="6405" max="6405" width="25.81640625" bestFit="1" customWidth="1"/>
    <col min="6406" max="6406" width="34.54296875" bestFit="1" customWidth="1"/>
    <col min="6407" max="6407" width="16.26953125" customWidth="1"/>
    <col min="6408" max="6408" width="14" customWidth="1"/>
    <col min="6409" max="6409" width="13" bestFit="1" customWidth="1"/>
    <col min="6410" max="6410" width="16" bestFit="1" customWidth="1"/>
    <col min="6656" max="6656" width="15.26953125" bestFit="1" customWidth="1"/>
    <col min="6657" max="6657" width="38" customWidth="1"/>
    <col min="6658" max="6658" width="14.26953125" customWidth="1"/>
    <col min="6659" max="6659" width="27.26953125" customWidth="1"/>
    <col min="6660" max="6660" width="27.54296875" bestFit="1" customWidth="1"/>
    <col min="6661" max="6661" width="25.81640625" bestFit="1" customWidth="1"/>
    <col min="6662" max="6662" width="34.54296875" bestFit="1" customWidth="1"/>
    <col min="6663" max="6663" width="16.26953125" customWidth="1"/>
    <col min="6664" max="6664" width="14" customWidth="1"/>
    <col min="6665" max="6665" width="13" bestFit="1" customWidth="1"/>
    <col min="6666" max="6666" width="16" bestFit="1" customWidth="1"/>
    <col min="6912" max="6912" width="15.26953125" bestFit="1" customWidth="1"/>
    <col min="6913" max="6913" width="38" customWidth="1"/>
    <col min="6914" max="6914" width="14.26953125" customWidth="1"/>
    <col min="6915" max="6915" width="27.26953125" customWidth="1"/>
    <col min="6916" max="6916" width="27.54296875" bestFit="1" customWidth="1"/>
    <col min="6917" max="6917" width="25.81640625" bestFit="1" customWidth="1"/>
    <col min="6918" max="6918" width="34.54296875" bestFit="1" customWidth="1"/>
    <col min="6919" max="6919" width="16.26953125" customWidth="1"/>
    <col min="6920" max="6920" width="14" customWidth="1"/>
    <col min="6921" max="6921" width="13" bestFit="1" customWidth="1"/>
    <col min="6922" max="6922" width="16" bestFit="1" customWidth="1"/>
    <col min="7168" max="7168" width="15.26953125" bestFit="1" customWidth="1"/>
    <col min="7169" max="7169" width="38" customWidth="1"/>
    <col min="7170" max="7170" width="14.26953125" customWidth="1"/>
    <col min="7171" max="7171" width="27.26953125" customWidth="1"/>
    <col min="7172" max="7172" width="27.54296875" bestFit="1" customWidth="1"/>
    <col min="7173" max="7173" width="25.81640625" bestFit="1" customWidth="1"/>
    <col min="7174" max="7174" width="34.54296875" bestFit="1" customWidth="1"/>
    <col min="7175" max="7175" width="16.26953125" customWidth="1"/>
    <col min="7176" max="7176" width="14" customWidth="1"/>
    <col min="7177" max="7177" width="13" bestFit="1" customWidth="1"/>
    <col min="7178" max="7178" width="16" bestFit="1" customWidth="1"/>
    <col min="7424" max="7424" width="15.26953125" bestFit="1" customWidth="1"/>
    <col min="7425" max="7425" width="38" customWidth="1"/>
    <col min="7426" max="7426" width="14.26953125" customWidth="1"/>
    <col min="7427" max="7427" width="27.26953125" customWidth="1"/>
    <col min="7428" max="7428" width="27.54296875" bestFit="1" customWidth="1"/>
    <col min="7429" max="7429" width="25.81640625" bestFit="1" customWidth="1"/>
    <col min="7430" max="7430" width="34.54296875" bestFit="1" customWidth="1"/>
    <col min="7431" max="7431" width="16.26953125" customWidth="1"/>
    <col min="7432" max="7432" width="14" customWidth="1"/>
    <col min="7433" max="7433" width="13" bestFit="1" customWidth="1"/>
    <col min="7434" max="7434" width="16" bestFit="1" customWidth="1"/>
    <col min="7680" max="7680" width="15.26953125" bestFit="1" customWidth="1"/>
    <col min="7681" max="7681" width="38" customWidth="1"/>
    <col min="7682" max="7682" width="14.26953125" customWidth="1"/>
    <col min="7683" max="7683" width="27.26953125" customWidth="1"/>
    <col min="7684" max="7684" width="27.54296875" bestFit="1" customWidth="1"/>
    <col min="7685" max="7685" width="25.81640625" bestFit="1" customWidth="1"/>
    <col min="7686" max="7686" width="34.54296875" bestFit="1" customWidth="1"/>
    <col min="7687" max="7687" width="16.26953125" customWidth="1"/>
    <col min="7688" max="7688" width="14" customWidth="1"/>
    <col min="7689" max="7689" width="13" bestFit="1" customWidth="1"/>
    <col min="7690" max="7690" width="16" bestFit="1" customWidth="1"/>
    <col min="7936" max="7936" width="15.26953125" bestFit="1" customWidth="1"/>
    <col min="7937" max="7937" width="38" customWidth="1"/>
    <col min="7938" max="7938" width="14.26953125" customWidth="1"/>
    <col min="7939" max="7939" width="27.26953125" customWidth="1"/>
    <col min="7940" max="7940" width="27.54296875" bestFit="1" customWidth="1"/>
    <col min="7941" max="7941" width="25.81640625" bestFit="1" customWidth="1"/>
    <col min="7942" max="7942" width="34.54296875" bestFit="1" customWidth="1"/>
    <col min="7943" max="7943" width="16.26953125" customWidth="1"/>
    <col min="7944" max="7944" width="14" customWidth="1"/>
    <col min="7945" max="7945" width="13" bestFit="1" customWidth="1"/>
    <col min="7946" max="7946" width="16" bestFit="1" customWidth="1"/>
    <col min="8192" max="8192" width="15.26953125" bestFit="1" customWidth="1"/>
    <col min="8193" max="8193" width="38" customWidth="1"/>
    <col min="8194" max="8194" width="14.26953125" customWidth="1"/>
    <col min="8195" max="8195" width="27.26953125" customWidth="1"/>
    <col min="8196" max="8196" width="27.54296875" bestFit="1" customWidth="1"/>
    <col min="8197" max="8197" width="25.81640625" bestFit="1" customWidth="1"/>
    <col min="8198" max="8198" width="34.54296875" bestFit="1" customWidth="1"/>
    <col min="8199" max="8199" width="16.26953125" customWidth="1"/>
    <col min="8200" max="8200" width="14" customWidth="1"/>
    <col min="8201" max="8201" width="13" bestFit="1" customWidth="1"/>
    <col min="8202" max="8202" width="16" bestFit="1" customWidth="1"/>
    <col min="8448" max="8448" width="15.26953125" bestFit="1" customWidth="1"/>
    <col min="8449" max="8449" width="38" customWidth="1"/>
    <col min="8450" max="8450" width="14.26953125" customWidth="1"/>
    <col min="8451" max="8451" width="27.26953125" customWidth="1"/>
    <col min="8452" max="8452" width="27.54296875" bestFit="1" customWidth="1"/>
    <col min="8453" max="8453" width="25.81640625" bestFit="1" customWidth="1"/>
    <col min="8454" max="8454" width="34.54296875" bestFit="1" customWidth="1"/>
    <col min="8455" max="8455" width="16.26953125" customWidth="1"/>
    <col min="8456" max="8456" width="14" customWidth="1"/>
    <col min="8457" max="8457" width="13" bestFit="1" customWidth="1"/>
    <col min="8458" max="8458" width="16" bestFit="1" customWidth="1"/>
    <col min="8704" max="8704" width="15.26953125" bestFit="1" customWidth="1"/>
    <col min="8705" max="8705" width="38" customWidth="1"/>
    <col min="8706" max="8706" width="14.26953125" customWidth="1"/>
    <col min="8707" max="8707" width="27.26953125" customWidth="1"/>
    <col min="8708" max="8708" width="27.54296875" bestFit="1" customWidth="1"/>
    <col min="8709" max="8709" width="25.81640625" bestFit="1" customWidth="1"/>
    <col min="8710" max="8710" width="34.54296875" bestFit="1" customWidth="1"/>
    <col min="8711" max="8711" width="16.26953125" customWidth="1"/>
    <col min="8712" max="8712" width="14" customWidth="1"/>
    <col min="8713" max="8713" width="13" bestFit="1" customWidth="1"/>
    <col min="8714" max="8714" width="16" bestFit="1" customWidth="1"/>
    <col min="8960" max="8960" width="15.26953125" bestFit="1" customWidth="1"/>
    <col min="8961" max="8961" width="38" customWidth="1"/>
    <col min="8962" max="8962" width="14.26953125" customWidth="1"/>
    <col min="8963" max="8963" width="27.26953125" customWidth="1"/>
    <col min="8964" max="8964" width="27.54296875" bestFit="1" customWidth="1"/>
    <col min="8965" max="8965" width="25.81640625" bestFit="1" customWidth="1"/>
    <col min="8966" max="8966" width="34.54296875" bestFit="1" customWidth="1"/>
    <col min="8967" max="8967" width="16.26953125" customWidth="1"/>
    <col min="8968" max="8968" width="14" customWidth="1"/>
    <col min="8969" max="8969" width="13" bestFit="1" customWidth="1"/>
    <col min="8970" max="8970" width="16" bestFit="1" customWidth="1"/>
    <col min="9216" max="9216" width="15.26953125" bestFit="1" customWidth="1"/>
    <col min="9217" max="9217" width="38" customWidth="1"/>
    <col min="9218" max="9218" width="14.26953125" customWidth="1"/>
    <col min="9219" max="9219" width="27.26953125" customWidth="1"/>
    <col min="9220" max="9220" width="27.54296875" bestFit="1" customWidth="1"/>
    <col min="9221" max="9221" width="25.81640625" bestFit="1" customWidth="1"/>
    <col min="9222" max="9222" width="34.54296875" bestFit="1" customWidth="1"/>
    <col min="9223" max="9223" width="16.26953125" customWidth="1"/>
    <col min="9224" max="9224" width="14" customWidth="1"/>
    <col min="9225" max="9225" width="13" bestFit="1" customWidth="1"/>
    <col min="9226" max="9226" width="16" bestFit="1" customWidth="1"/>
    <col min="9472" max="9472" width="15.26953125" bestFit="1" customWidth="1"/>
    <col min="9473" max="9473" width="38" customWidth="1"/>
    <col min="9474" max="9474" width="14.26953125" customWidth="1"/>
    <col min="9475" max="9475" width="27.26953125" customWidth="1"/>
    <col min="9476" max="9476" width="27.54296875" bestFit="1" customWidth="1"/>
    <col min="9477" max="9477" width="25.81640625" bestFit="1" customWidth="1"/>
    <col min="9478" max="9478" width="34.54296875" bestFit="1" customWidth="1"/>
    <col min="9479" max="9479" width="16.26953125" customWidth="1"/>
    <col min="9480" max="9480" width="14" customWidth="1"/>
    <col min="9481" max="9481" width="13" bestFit="1" customWidth="1"/>
    <col min="9482" max="9482" width="16" bestFit="1" customWidth="1"/>
    <col min="9728" max="9728" width="15.26953125" bestFit="1" customWidth="1"/>
    <col min="9729" max="9729" width="38" customWidth="1"/>
    <col min="9730" max="9730" width="14.26953125" customWidth="1"/>
    <col min="9731" max="9731" width="27.26953125" customWidth="1"/>
    <col min="9732" max="9732" width="27.54296875" bestFit="1" customWidth="1"/>
    <col min="9733" max="9733" width="25.81640625" bestFit="1" customWidth="1"/>
    <col min="9734" max="9734" width="34.54296875" bestFit="1" customWidth="1"/>
    <col min="9735" max="9735" width="16.26953125" customWidth="1"/>
    <col min="9736" max="9736" width="14" customWidth="1"/>
    <col min="9737" max="9737" width="13" bestFit="1" customWidth="1"/>
    <col min="9738" max="9738" width="16" bestFit="1" customWidth="1"/>
    <col min="9984" max="9984" width="15.26953125" bestFit="1" customWidth="1"/>
    <col min="9985" max="9985" width="38" customWidth="1"/>
    <col min="9986" max="9986" width="14.26953125" customWidth="1"/>
    <col min="9987" max="9987" width="27.26953125" customWidth="1"/>
    <col min="9988" max="9988" width="27.54296875" bestFit="1" customWidth="1"/>
    <col min="9989" max="9989" width="25.81640625" bestFit="1" customWidth="1"/>
    <col min="9990" max="9990" width="34.54296875" bestFit="1" customWidth="1"/>
    <col min="9991" max="9991" width="16.26953125" customWidth="1"/>
    <col min="9992" max="9992" width="14" customWidth="1"/>
    <col min="9993" max="9993" width="13" bestFit="1" customWidth="1"/>
    <col min="9994" max="9994" width="16" bestFit="1" customWidth="1"/>
    <col min="10240" max="10240" width="15.26953125" bestFit="1" customWidth="1"/>
    <col min="10241" max="10241" width="38" customWidth="1"/>
    <col min="10242" max="10242" width="14.26953125" customWidth="1"/>
    <col min="10243" max="10243" width="27.26953125" customWidth="1"/>
    <col min="10244" max="10244" width="27.54296875" bestFit="1" customWidth="1"/>
    <col min="10245" max="10245" width="25.81640625" bestFit="1" customWidth="1"/>
    <col min="10246" max="10246" width="34.54296875" bestFit="1" customWidth="1"/>
    <col min="10247" max="10247" width="16.26953125" customWidth="1"/>
    <col min="10248" max="10248" width="14" customWidth="1"/>
    <col min="10249" max="10249" width="13" bestFit="1" customWidth="1"/>
    <col min="10250" max="10250" width="16" bestFit="1" customWidth="1"/>
    <col min="10496" max="10496" width="15.26953125" bestFit="1" customWidth="1"/>
    <col min="10497" max="10497" width="38" customWidth="1"/>
    <col min="10498" max="10498" width="14.26953125" customWidth="1"/>
    <col min="10499" max="10499" width="27.26953125" customWidth="1"/>
    <col min="10500" max="10500" width="27.54296875" bestFit="1" customWidth="1"/>
    <col min="10501" max="10501" width="25.81640625" bestFit="1" customWidth="1"/>
    <col min="10502" max="10502" width="34.54296875" bestFit="1" customWidth="1"/>
    <col min="10503" max="10503" width="16.26953125" customWidth="1"/>
    <col min="10504" max="10504" width="14" customWidth="1"/>
    <col min="10505" max="10505" width="13" bestFit="1" customWidth="1"/>
    <col min="10506" max="10506" width="16" bestFit="1" customWidth="1"/>
    <col min="10752" max="10752" width="15.26953125" bestFit="1" customWidth="1"/>
    <col min="10753" max="10753" width="38" customWidth="1"/>
    <col min="10754" max="10754" width="14.26953125" customWidth="1"/>
    <col min="10755" max="10755" width="27.26953125" customWidth="1"/>
    <col min="10756" max="10756" width="27.54296875" bestFit="1" customWidth="1"/>
    <col min="10757" max="10757" width="25.81640625" bestFit="1" customWidth="1"/>
    <col min="10758" max="10758" width="34.54296875" bestFit="1" customWidth="1"/>
    <col min="10759" max="10759" width="16.26953125" customWidth="1"/>
    <col min="10760" max="10760" width="14" customWidth="1"/>
    <col min="10761" max="10761" width="13" bestFit="1" customWidth="1"/>
    <col min="10762" max="10762" width="16" bestFit="1" customWidth="1"/>
    <col min="11008" max="11008" width="15.26953125" bestFit="1" customWidth="1"/>
    <col min="11009" max="11009" width="38" customWidth="1"/>
    <col min="11010" max="11010" width="14.26953125" customWidth="1"/>
    <col min="11011" max="11011" width="27.26953125" customWidth="1"/>
    <col min="11012" max="11012" width="27.54296875" bestFit="1" customWidth="1"/>
    <col min="11013" max="11013" width="25.81640625" bestFit="1" customWidth="1"/>
    <col min="11014" max="11014" width="34.54296875" bestFit="1" customWidth="1"/>
    <col min="11015" max="11015" width="16.26953125" customWidth="1"/>
    <col min="11016" max="11016" width="14" customWidth="1"/>
    <col min="11017" max="11017" width="13" bestFit="1" customWidth="1"/>
    <col min="11018" max="11018" width="16" bestFit="1" customWidth="1"/>
    <col min="11264" max="11264" width="15.26953125" bestFit="1" customWidth="1"/>
    <col min="11265" max="11265" width="38" customWidth="1"/>
    <col min="11266" max="11266" width="14.26953125" customWidth="1"/>
    <col min="11267" max="11267" width="27.26953125" customWidth="1"/>
    <col min="11268" max="11268" width="27.54296875" bestFit="1" customWidth="1"/>
    <col min="11269" max="11269" width="25.81640625" bestFit="1" customWidth="1"/>
    <col min="11270" max="11270" width="34.54296875" bestFit="1" customWidth="1"/>
    <col min="11271" max="11271" width="16.26953125" customWidth="1"/>
    <col min="11272" max="11272" width="14" customWidth="1"/>
    <col min="11273" max="11273" width="13" bestFit="1" customWidth="1"/>
    <col min="11274" max="11274" width="16" bestFit="1" customWidth="1"/>
    <col min="11520" max="11520" width="15.26953125" bestFit="1" customWidth="1"/>
    <col min="11521" max="11521" width="38" customWidth="1"/>
    <col min="11522" max="11522" width="14.26953125" customWidth="1"/>
    <col min="11523" max="11523" width="27.26953125" customWidth="1"/>
    <col min="11524" max="11524" width="27.54296875" bestFit="1" customWidth="1"/>
    <col min="11525" max="11525" width="25.81640625" bestFit="1" customWidth="1"/>
    <col min="11526" max="11526" width="34.54296875" bestFit="1" customWidth="1"/>
    <col min="11527" max="11527" width="16.26953125" customWidth="1"/>
    <col min="11528" max="11528" width="14" customWidth="1"/>
    <col min="11529" max="11529" width="13" bestFit="1" customWidth="1"/>
    <col min="11530" max="11530" width="16" bestFit="1" customWidth="1"/>
    <col min="11776" max="11776" width="15.26953125" bestFit="1" customWidth="1"/>
    <col min="11777" max="11777" width="38" customWidth="1"/>
    <col min="11778" max="11778" width="14.26953125" customWidth="1"/>
    <col min="11779" max="11779" width="27.26953125" customWidth="1"/>
    <col min="11780" max="11780" width="27.54296875" bestFit="1" customWidth="1"/>
    <col min="11781" max="11781" width="25.81640625" bestFit="1" customWidth="1"/>
    <col min="11782" max="11782" width="34.54296875" bestFit="1" customWidth="1"/>
    <col min="11783" max="11783" width="16.26953125" customWidth="1"/>
    <col min="11784" max="11784" width="14" customWidth="1"/>
    <col min="11785" max="11785" width="13" bestFit="1" customWidth="1"/>
    <col min="11786" max="11786" width="16" bestFit="1" customWidth="1"/>
    <col min="12032" max="12032" width="15.26953125" bestFit="1" customWidth="1"/>
    <col min="12033" max="12033" width="38" customWidth="1"/>
    <col min="12034" max="12034" width="14.26953125" customWidth="1"/>
    <col min="12035" max="12035" width="27.26953125" customWidth="1"/>
    <col min="12036" max="12036" width="27.54296875" bestFit="1" customWidth="1"/>
    <col min="12037" max="12037" width="25.81640625" bestFit="1" customWidth="1"/>
    <col min="12038" max="12038" width="34.54296875" bestFit="1" customWidth="1"/>
    <col min="12039" max="12039" width="16.26953125" customWidth="1"/>
    <col min="12040" max="12040" width="14" customWidth="1"/>
    <col min="12041" max="12041" width="13" bestFit="1" customWidth="1"/>
    <col min="12042" max="12042" width="16" bestFit="1" customWidth="1"/>
    <col min="12288" max="12288" width="15.26953125" bestFit="1" customWidth="1"/>
    <col min="12289" max="12289" width="38" customWidth="1"/>
    <col min="12290" max="12290" width="14.26953125" customWidth="1"/>
    <col min="12291" max="12291" width="27.26953125" customWidth="1"/>
    <col min="12292" max="12292" width="27.54296875" bestFit="1" customWidth="1"/>
    <col min="12293" max="12293" width="25.81640625" bestFit="1" customWidth="1"/>
    <col min="12294" max="12294" width="34.54296875" bestFit="1" customWidth="1"/>
    <col min="12295" max="12295" width="16.26953125" customWidth="1"/>
    <col min="12296" max="12296" width="14" customWidth="1"/>
    <col min="12297" max="12297" width="13" bestFit="1" customWidth="1"/>
    <col min="12298" max="12298" width="16" bestFit="1" customWidth="1"/>
    <col min="12544" max="12544" width="15.26953125" bestFit="1" customWidth="1"/>
    <col min="12545" max="12545" width="38" customWidth="1"/>
    <col min="12546" max="12546" width="14.26953125" customWidth="1"/>
    <col min="12547" max="12547" width="27.26953125" customWidth="1"/>
    <col min="12548" max="12548" width="27.54296875" bestFit="1" customWidth="1"/>
    <col min="12549" max="12549" width="25.81640625" bestFit="1" customWidth="1"/>
    <col min="12550" max="12550" width="34.54296875" bestFit="1" customWidth="1"/>
    <col min="12551" max="12551" width="16.26953125" customWidth="1"/>
    <col min="12552" max="12552" width="14" customWidth="1"/>
    <col min="12553" max="12553" width="13" bestFit="1" customWidth="1"/>
    <col min="12554" max="12554" width="16" bestFit="1" customWidth="1"/>
    <col min="12800" max="12800" width="15.26953125" bestFit="1" customWidth="1"/>
    <col min="12801" max="12801" width="38" customWidth="1"/>
    <col min="12802" max="12802" width="14.26953125" customWidth="1"/>
    <col min="12803" max="12803" width="27.26953125" customWidth="1"/>
    <col min="12804" max="12804" width="27.54296875" bestFit="1" customWidth="1"/>
    <col min="12805" max="12805" width="25.81640625" bestFit="1" customWidth="1"/>
    <col min="12806" max="12806" width="34.54296875" bestFit="1" customWidth="1"/>
    <col min="12807" max="12807" width="16.26953125" customWidth="1"/>
    <col min="12808" max="12808" width="14" customWidth="1"/>
    <col min="12809" max="12809" width="13" bestFit="1" customWidth="1"/>
    <col min="12810" max="12810" width="16" bestFit="1" customWidth="1"/>
    <col min="13056" max="13056" width="15.26953125" bestFit="1" customWidth="1"/>
    <col min="13057" max="13057" width="38" customWidth="1"/>
    <col min="13058" max="13058" width="14.26953125" customWidth="1"/>
    <col min="13059" max="13059" width="27.26953125" customWidth="1"/>
    <col min="13060" max="13060" width="27.54296875" bestFit="1" customWidth="1"/>
    <col min="13061" max="13061" width="25.81640625" bestFit="1" customWidth="1"/>
    <col min="13062" max="13062" width="34.54296875" bestFit="1" customWidth="1"/>
    <col min="13063" max="13063" width="16.26953125" customWidth="1"/>
    <col min="13064" max="13064" width="14" customWidth="1"/>
    <col min="13065" max="13065" width="13" bestFit="1" customWidth="1"/>
    <col min="13066" max="13066" width="16" bestFit="1" customWidth="1"/>
    <col min="13312" max="13312" width="15.26953125" bestFit="1" customWidth="1"/>
    <col min="13313" max="13313" width="38" customWidth="1"/>
    <col min="13314" max="13314" width="14.26953125" customWidth="1"/>
    <col min="13315" max="13315" width="27.26953125" customWidth="1"/>
    <col min="13316" max="13316" width="27.54296875" bestFit="1" customWidth="1"/>
    <col min="13317" max="13317" width="25.81640625" bestFit="1" customWidth="1"/>
    <col min="13318" max="13318" width="34.54296875" bestFit="1" customWidth="1"/>
    <col min="13319" max="13319" width="16.26953125" customWidth="1"/>
    <col min="13320" max="13320" width="14" customWidth="1"/>
    <col min="13321" max="13321" width="13" bestFit="1" customWidth="1"/>
    <col min="13322" max="13322" width="16" bestFit="1" customWidth="1"/>
    <col min="13568" max="13568" width="15.26953125" bestFit="1" customWidth="1"/>
    <col min="13569" max="13569" width="38" customWidth="1"/>
    <col min="13570" max="13570" width="14.26953125" customWidth="1"/>
    <col min="13571" max="13571" width="27.26953125" customWidth="1"/>
    <col min="13572" max="13572" width="27.54296875" bestFit="1" customWidth="1"/>
    <col min="13573" max="13573" width="25.81640625" bestFit="1" customWidth="1"/>
    <col min="13574" max="13574" width="34.54296875" bestFit="1" customWidth="1"/>
    <col min="13575" max="13575" width="16.26953125" customWidth="1"/>
    <col min="13576" max="13576" width="14" customWidth="1"/>
    <col min="13577" max="13577" width="13" bestFit="1" customWidth="1"/>
    <col min="13578" max="13578" width="16" bestFit="1" customWidth="1"/>
    <col min="13824" max="13824" width="15.26953125" bestFit="1" customWidth="1"/>
    <col min="13825" max="13825" width="38" customWidth="1"/>
    <col min="13826" max="13826" width="14.26953125" customWidth="1"/>
    <col min="13827" max="13827" width="27.26953125" customWidth="1"/>
    <col min="13828" max="13828" width="27.54296875" bestFit="1" customWidth="1"/>
    <col min="13829" max="13829" width="25.81640625" bestFit="1" customWidth="1"/>
    <col min="13830" max="13830" width="34.54296875" bestFit="1" customWidth="1"/>
    <col min="13831" max="13831" width="16.26953125" customWidth="1"/>
    <col min="13832" max="13832" width="14" customWidth="1"/>
    <col min="13833" max="13833" width="13" bestFit="1" customWidth="1"/>
    <col min="13834" max="13834" width="16" bestFit="1" customWidth="1"/>
    <col min="14080" max="14080" width="15.26953125" bestFit="1" customWidth="1"/>
    <col min="14081" max="14081" width="38" customWidth="1"/>
    <col min="14082" max="14082" width="14.26953125" customWidth="1"/>
    <col min="14083" max="14083" width="27.26953125" customWidth="1"/>
    <col min="14084" max="14084" width="27.54296875" bestFit="1" customWidth="1"/>
    <col min="14085" max="14085" width="25.81640625" bestFit="1" customWidth="1"/>
    <col min="14086" max="14086" width="34.54296875" bestFit="1" customWidth="1"/>
    <col min="14087" max="14087" width="16.26953125" customWidth="1"/>
    <col min="14088" max="14088" width="14" customWidth="1"/>
    <col min="14089" max="14089" width="13" bestFit="1" customWidth="1"/>
    <col min="14090" max="14090" width="16" bestFit="1" customWidth="1"/>
    <col min="14336" max="14336" width="15.26953125" bestFit="1" customWidth="1"/>
    <col min="14337" max="14337" width="38" customWidth="1"/>
    <col min="14338" max="14338" width="14.26953125" customWidth="1"/>
    <col min="14339" max="14339" width="27.26953125" customWidth="1"/>
    <col min="14340" max="14340" width="27.54296875" bestFit="1" customWidth="1"/>
    <col min="14341" max="14341" width="25.81640625" bestFit="1" customWidth="1"/>
    <col min="14342" max="14342" width="34.54296875" bestFit="1" customWidth="1"/>
    <col min="14343" max="14343" width="16.26953125" customWidth="1"/>
    <col min="14344" max="14344" width="14" customWidth="1"/>
    <col min="14345" max="14345" width="13" bestFit="1" customWidth="1"/>
    <col min="14346" max="14346" width="16" bestFit="1" customWidth="1"/>
    <col min="14592" max="14592" width="15.26953125" bestFit="1" customWidth="1"/>
    <col min="14593" max="14593" width="38" customWidth="1"/>
    <col min="14594" max="14594" width="14.26953125" customWidth="1"/>
    <col min="14595" max="14595" width="27.26953125" customWidth="1"/>
    <col min="14596" max="14596" width="27.54296875" bestFit="1" customWidth="1"/>
    <col min="14597" max="14597" width="25.81640625" bestFit="1" customWidth="1"/>
    <col min="14598" max="14598" width="34.54296875" bestFit="1" customWidth="1"/>
    <col min="14599" max="14599" width="16.26953125" customWidth="1"/>
    <col min="14600" max="14600" width="14" customWidth="1"/>
    <col min="14601" max="14601" width="13" bestFit="1" customWidth="1"/>
    <col min="14602" max="14602" width="16" bestFit="1" customWidth="1"/>
    <col min="14848" max="14848" width="15.26953125" bestFit="1" customWidth="1"/>
    <col min="14849" max="14849" width="38" customWidth="1"/>
    <col min="14850" max="14850" width="14.26953125" customWidth="1"/>
    <col min="14851" max="14851" width="27.26953125" customWidth="1"/>
    <col min="14852" max="14852" width="27.54296875" bestFit="1" customWidth="1"/>
    <col min="14853" max="14853" width="25.81640625" bestFit="1" customWidth="1"/>
    <col min="14854" max="14854" width="34.54296875" bestFit="1" customWidth="1"/>
    <col min="14855" max="14855" width="16.26953125" customWidth="1"/>
    <col min="14856" max="14856" width="14" customWidth="1"/>
    <col min="14857" max="14857" width="13" bestFit="1" customWidth="1"/>
    <col min="14858" max="14858" width="16" bestFit="1" customWidth="1"/>
    <col min="15104" max="15104" width="15.26953125" bestFit="1" customWidth="1"/>
    <col min="15105" max="15105" width="38" customWidth="1"/>
    <col min="15106" max="15106" width="14.26953125" customWidth="1"/>
    <col min="15107" max="15107" width="27.26953125" customWidth="1"/>
    <col min="15108" max="15108" width="27.54296875" bestFit="1" customWidth="1"/>
    <col min="15109" max="15109" width="25.81640625" bestFit="1" customWidth="1"/>
    <col min="15110" max="15110" width="34.54296875" bestFit="1" customWidth="1"/>
    <col min="15111" max="15111" width="16.26953125" customWidth="1"/>
    <col min="15112" max="15112" width="14" customWidth="1"/>
    <col min="15113" max="15113" width="13" bestFit="1" customWidth="1"/>
    <col min="15114" max="15114" width="16" bestFit="1" customWidth="1"/>
    <col min="15360" max="15360" width="15.26953125" bestFit="1" customWidth="1"/>
    <col min="15361" max="15361" width="38" customWidth="1"/>
    <col min="15362" max="15362" width="14.26953125" customWidth="1"/>
    <col min="15363" max="15363" width="27.26953125" customWidth="1"/>
    <col min="15364" max="15364" width="27.54296875" bestFit="1" customWidth="1"/>
    <col min="15365" max="15365" width="25.81640625" bestFit="1" customWidth="1"/>
    <col min="15366" max="15366" width="34.54296875" bestFit="1" customWidth="1"/>
    <col min="15367" max="15367" width="16.26953125" customWidth="1"/>
    <col min="15368" max="15368" width="14" customWidth="1"/>
    <col min="15369" max="15369" width="13" bestFit="1" customWidth="1"/>
    <col min="15370" max="15370" width="16" bestFit="1" customWidth="1"/>
    <col min="15616" max="15616" width="15.26953125" bestFit="1" customWidth="1"/>
    <col min="15617" max="15617" width="38" customWidth="1"/>
    <col min="15618" max="15618" width="14.26953125" customWidth="1"/>
    <col min="15619" max="15619" width="27.26953125" customWidth="1"/>
    <col min="15620" max="15620" width="27.54296875" bestFit="1" customWidth="1"/>
    <col min="15621" max="15621" width="25.81640625" bestFit="1" customWidth="1"/>
    <col min="15622" max="15622" width="34.54296875" bestFit="1" customWidth="1"/>
    <col min="15623" max="15623" width="16.26953125" customWidth="1"/>
    <col min="15624" max="15624" width="14" customWidth="1"/>
    <col min="15625" max="15625" width="13" bestFit="1" customWidth="1"/>
    <col min="15626" max="15626" width="16" bestFit="1" customWidth="1"/>
    <col min="15872" max="15872" width="15.26953125" bestFit="1" customWidth="1"/>
    <col min="15873" max="15873" width="38" customWidth="1"/>
    <col min="15874" max="15874" width="14.26953125" customWidth="1"/>
    <col min="15875" max="15875" width="27.26953125" customWidth="1"/>
    <col min="15876" max="15876" width="27.54296875" bestFit="1" customWidth="1"/>
    <col min="15877" max="15877" width="25.81640625" bestFit="1" customWidth="1"/>
    <col min="15878" max="15878" width="34.54296875" bestFit="1" customWidth="1"/>
    <col min="15879" max="15879" width="16.26953125" customWidth="1"/>
    <col min="15880" max="15880" width="14" customWidth="1"/>
    <col min="15881" max="15881" width="13" bestFit="1" customWidth="1"/>
    <col min="15882" max="15882" width="16" bestFit="1" customWidth="1"/>
    <col min="16128" max="16128" width="15.26953125" bestFit="1" customWidth="1"/>
    <col min="16129" max="16129" width="38" customWidth="1"/>
    <col min="16130" max="16130" width="14.26953125" customWidth="1"/>
    <col min="16131" max="16131" width="27.26953125" customWidth="1"/>
    <col min="16132" max="16132" width="27.54296875" bestFit="1" customWidth="1"/>
    <col min="16133" max="16133" width="25.81640625" bestFit="1" customWidth="1"/>
    <col min="16134" max="16134" width="34.54296875" bestFit="1" customWidth="1"/>
    <col min="16135" max="16135" width="16.26953125" customWidth="1"/>
    <col min="16136" max="16136" width="14" customWidth="1"/>
    <col min="16137" max="16137" width="13" bestFit="1" customWidth="1"/>
    <col min="16138" max="16138" width="16" bestFit="1" customWidth="1"/>
  </cols>
  <sheetData>
    <row r="1" spans="1:10" x14ac:dyDescent="0.35">
      <c r="A1" s="151" t="s">
        <v>602</v>
      </c>
      <c r="B1" s="15" t="s">
        <v>603</v>
      </c>
      <c r="C1" s="1" t="s">
        <v>604</v>
      </c>
      <c r="D1" s="15" t="s">
        <v>605</v>
      </c>
      <c r="E1" s="152" t="s">
        <v>606</v>
      </c>
      <c r="F1" s="16" t="s">
        <v>180</v>
      </c>
      <c r="G1" s="16" t="s">
        <v>607</v>
      </c>
      <c r="H1" s="16" t="s">
        <v>608</v>
      </c>
      <c r="I1" s="1" t="s">
        <v>609</v>
      </c>
      <c r="J1" s="1" t="s">
        <v>610</v>
      </c>
    </row>
    <row r="2" spans="1:10" x14ac:dyDescent="0.35">
      <c r="A2" s="153">
        <v>1115965</v>
      </c>
      <c r="B2" s="13" t="s">
        <v>527</v>
      </c>
      <c r="C2" s="153">
        <v>1115965</v>
      </c>
      <c r="D2" s="15" t="s">
        <v>528</v>
      </c>
      <c r="E2" s="54">
        <v>870000</v>
      </c>
      <c r="F2" s="16" t="s">
        <v>611</v>
      </c>
      <c r="G2" s="16"/>
      <c r="H2" s="16"/>
      <c r="I2" s="1">
        <v>1</v>
      </c>
      <c r="J2" s="1">
        <v>1</v>
      </c>
    </row>
    <row r="3" spans="1:10" x14ac:dyDescent="0.35">
      <c r="A3" s="153">
        <v>1074820</v>
      </c>
      <c r="B3" s="13" t="s">
        <v>529</v>
      </c>
      <c r="C3" s="153">
        <v>1074820</v>
      </c>
      <c r="D3" s="15" t="s">
        <v>530</v>
      </c>
      <c r="E3" s="54">
        <v>1044000</v>
      </c>
      <c r="F3" s="16" t="s">
        <v>611</v>
      </c>
      <c r="G3" s="16"/>
      <c r="H3" s="16"/>
      <c r="I3" s="1">
        <v>1</v>
      </c>
      <c r="J3" s="1">
        <v>1</v>
      </c>
    </row>
    <row r="4" spans="1:10" x14ac:dyDescent="0.35">
      <c r="A4" s="153">
        <v>1061488</v>
      </c>
      <c r="B4" s="18" t="s">
        <v>541</v>
      </c>
      <c r="C4" s="153">
        <v>1061488</v>
      </c>
      <c r="D4" s="22" t="s">
        <v>542</v>
      </c>
      <c r="E4" s="54">
        <v>210000</v>
      </c>
      <c r="F4" s="16" t="s">
        <v>611</v>
      </c>
      <c r="G4" s="16" t="s">
        <v>612</v>
      </c>
      <c r="H4" s="16" t="s">
        <v>613</v>
      </c>
      <c r="I4" s="1">
        <v>1</v>
      </c>
      <c r="J4" s="1">
        <v>2</v>
      </c>
    </row>
    <row r="5" spans="1:10" x14ac:dyDescent="0.35">
      <c r="A5" s="153">
        <v>1119140</v>
      </c>
      <c r="B5" s="53" t="s">
        <v>547</v>
      </c>
      <c r="C5" s="153">
        <v>1119140</v>
      </c>
      <c r="D5" s="15" t="s">
        <v>548</v>
      </c>
      <c r="E5" s="54">
        <v>570000</v>
      </c>
      <c r="F5" s="16" t="s">
        <v>614</v>
      </c>
      <c r="G5" s="16" t="s">
        <v>615</v>
      </c>
      <c r="H5" s="16" t="s">
        <v>616</v>
      </c>
      <c r="I5" s="1">
        <v>1</v>
      </c>
      <c r="J5" s="1">
        <v>4</v>
      </c>
    </row>
    <row r="6" spans="1:10" x14ac:dyDescent="0.35">
      <c r="A6" s="153">
        <v>1130258</v>
      </c>
      <c r="B6" s="53" t="s">
        <v>531</v>
      </c>
      <c r="C6" s="153">
        <v>1130258</v>
      </c>
      <c r="D6" s="15" t="s">
        <v>532</v>
      </c>
      <c r="E6" s="54">
        <v>834000</v>
      </c>
      <c r="F6" s="16" t="s">
        <v>611</v>
      </c>
      <c r="G6" s="16" t="s">
        <v>617</v>
      </c>
      <c r="H6" s="16" t="s">
        <v>618</v>
      </c>
      <c r="I6" s="1">
        <v>1</v>
      </c>
      <c r="J6" s="1">
        <v>2</v>
      </c>
    </row>
    <row r="7" spans="1:10" x14ac:dyDescent="0.35">
      <c r="A7" s="153">
        <v>1092115</v>
      </c>
      <c r="B7" s="13" t="s">
        <v>537</v>
      </c>
      <c r="C7" s="153">
        <v>1092115</v>
      </c>
      <c r="D7" s="15" t="s">
        <v>538</v>
      </c>
      <c r="E7" s="54">
        <v>1170000</v>
      </c>
      <c r="F7" s="16" t="s">
        <v>611</v>
      </c>
      <c r="G7" s="16" t="s">
        <v>619</v>
      </c>
      <c r="H7" s="16"/>
      <c r="I7" s="1">
        <v>5</v>
      </c>
      <c r="J7" s="1">
        <v>6</v>
      </c>
    </row>
    <row r="8" spans="1:10" x14ac:dyDescent="0.35">
      <c r="A8" s="153">
        <v>1092120</v>
      </c>
      <c r="B8" s="13" t="s">
        <v>537</v>
      </c>
      <c r="C8" s="153">
        <v>1092120</v>
      </c>
      <c r="D8" s="15" t="s">
        <v>538</v>
      </c>
      <c r="E8" s="54">
        <v>1170000</v>
      </c>
      <c r="F8" s="16" t="s">
        <v>611</v>
      </c>
      <c r="G8" s="16" t="s">
        <v>619</v>
      </c>
      <c r="H8" s="16"/>
      <c r="I8" s="1">
        <v>5</v>
      </c>
      <c r="J8" s="1">
        <v>6</v>
      </c>
    </row>
    <row r="9" spans="1:10" x14ac:dyDescent="0.35">
      <c r="A9" s="153">
        <v>1092117</v>
      </c>
      <c r="B9" s="13" t="s">
        <v>537</v>
      </c>
      <c r="C9" s="153">
        <v>1092117</v>
      </c>
      <c r="D9" s="15" t="s">
        <v>538</v>
      </c>
      <c r="E9" s="54">
        <v>1170000</v>
      </c>
      <c r="F9" s="16" t="s">
        <v>611</v>
      </c>
      <c r="G9" s="16" t="s">
        <v>619</v>
      </c>
      <c r="H9" s="16"/>
      <c r="I9" s="1">
        <v>5</v>
      </c>
      <c r="J9" s="1">
        <v>6</v>
      </c>
    </row>
    <row r="10" spans="1:10" x14ac:dyDescent="0.35">
      <c r="A10" s="153">
        <v>1092116</v>
      </c>
      <c r="B10" s="13" t="s">
        <v>537</v>
      </c>
      <c r="C10" s="153">
        <v>1092116</v>
      </c>
      <c r="D10" s="15" t="s">
        <v>538</v>
      </c>
      <c r="E10" s="54">
        <v>1170000</v>
      </c>
      <c r="F10" s="16" t="s">
        <v>611</v>
      </c>
      <c r="G10" s="16" t="s">
        <v>619</v>
      </c>
      <c r="H10" s="16"/>
      <c r="I10" s="1">
        <v>5</v>
      </c>
      <c r="J10" s="1">
        <v>6</v>
      </c>
    </row>
    <row r="11" spans="1:10" x14ac:dyDescent="0.35">
      <c r="A11" s="153">
        <v>1092118</v>
      </c>
      <c r="B11" s="13" t="s">
        <v>537</v>
      </c>
      <c r="C11" s="153">
        <v>1092118</v>
      </c>
      <c r="D11" s="15" t="s">
        <v>538</v>
      </c>
      <c r="E11" s="54">
        <v>1170000</v>
      </c>
      <c r="F11" s="16" t="s">
        <v>611</v>
      </c>
      <c r="G11" s="16" t="s">
        <v>619</v>
      </c>
      <c r="H11" s="16"/>
      <c r="I11" s="1">
        <v>5</v>
      </c>
      <c r="J11" s="1">
        <v>6</v>
      </c>
    </row>
    <row r="12" spans="1:10" x14ac:dyDescent="0.35">
      <c r="A12" s="153">
        <v>1092119</v>
      </c>
      <c r="B12" s="53" t="s">
        <v>545</v>
      </c>
      <c r="C12" s="153">
        <v>1092119</v>
      </c>
      <c r="D12" s="15" t="s">
        <v>546</v>
      </c>
      <c r="E12" s="54">
        <v>97486.2</v>
      </c>
      <c r="F12" s="16" t="s">
        <v>614</v>
      </c>
      <c r="G12" s="16" t="s">
        <v>620</v>
      </c>
      <c r="H12" s="16"/>
      <c r="I12" s="1">
        <v>1</v>
      </c>
      <c r="J12" s="1">
        <v>4</v>
      </c>
    </row>
    <row r="13" spans="1:10" x14ac:dyDescent="0.35">
      <c r="A13" s="153">
        <v>1093658</v>
      </c>
      <c r="B13" s="18" t="s">
        <v>539</v>
      </c>
      <c r="C13" s="153">
        <v>1093658</v>
      </c>
      <c r="D13" s="15" t="s">
        <v>540</v>
      </c>
      <c r="E13" s="54">
        <v>510000</v>
      </c>
      <c r="F13" s="16" t="s">
        <v>611</v>
      </c>
      <c r="G13" s="16" t="s">
        <v>621</v>
      </c>
      <c r="H13" s="16" t="s">
        <v>622</v>
      </c>
      <c r="I13" s="1">
        <v>1</v>
      </c>
      <c r="J13" s="1">
        <v>7</v>
      </c>
    </row>
    <row r="14" spans="1:10" x14ac:dyDescent="0.35">
      <c r="A14" s="153">
        <v>1130564</v>
      </c>
      <c r="B14" s="53" t="s">
        <v>549</v>
      </c>
      <c r="C14" s="153">
        <v>1130564</v>
      </c>
      <c r="D14" s="15" t="s">
        <v>550</v>
      </c>
      <c r="E14" s="54">
        <v>97486.2</v>
      </c>
      <c r="F14" s="16" t="s">
        <v>611</v>
      </c>
      <c r="G14" s="16" t="s">
        <v>620</v>
      </c>
      <c r="H14" s="16" t="s">
        <v>623</v>
      </c>
      <c r="I14" s="1">
        <v>1</v>
      </c>
      <c r="J14" s="1">
        <v>10</v>
      </c>
    </row>
    <row r="15" spans="1:10" x14ac:dyDescent="0.35">
      <c r="A15" s="153">
        <v>1122110</v>
      </c>
      <c r="B15" s="53" t="s">
        <v>551</v>
      </c>
      <c r="C15" s="153">
        <v>1122110</v>
      </c>
      <c r="D15" s="15" t="s">
        <v>552</v>
      </c>
      <c r="E15" s="54">
        <v>210000</v>
      </c>
      <c r="F15" s="16" t="s">
        <v>614</v>
      </c>
      <c r="G15" s="16" t="s">
        <v>624</v>
      </c>
      <c r="H15" s="1" t="s">
        <v>613</v>
      </c>
      <c r="I15" s="1">
        <v>1</v>
      </c>
      <c r="J15" s="1">
        <v>1</v>
      </c>
    </row>
    <row r="16" spans="1:10" x14ac:dyDescent="0.35">
      <c r="A16" s="153">
        <v>1123021</v>
      </c>
      <c r="B16" s="53" t="s">
        <v>543</v>
      </c>
      <c r="C16" s="153">
        <v>1123021</v>
      </c>
      <c r="D16" s="15" t="s">
        <v>544</v>
      </c>
      <c r="E16" s="54">
        <v>210000</v>
      </c>
      <c r="F16" s="16" t="s">
        <v>614</v>
      </c>
      <c r="G16" s="16" t="s">
        <v>612</v>
      </c>
      <c r="H16" s="16"/>
      <c r="I16" s="1">
        <v>1</v>
      </c>
      <c r="J16" s="1">
        <v>2</v>
      </c>
    </row>
    <row r="17" spans="1:10" x14ac:dyDescent="0.35">
      <c r="A17" s="153">
        <v>1062546</v>
      </c>
      <c r="B17" s="15" t="s">
        <v>218</v>
      </c>
      <c r="C17" s="153">
        <v>1062546</v>
      </c>
      <c r="D17" s="15" t="s">
        <v>219</v>
      </c>
      <c r="E17" s="54">
        <v>1800000</v>
      </c>
      <c r="F17" s="16" t="s">
        <v>611</v>
      </c>
      <c r="G17" s="16"/>
      <c r="H17" s="16"/>
      <c r="I17" s="1">
        <v>1</v>
      </c>
      <c r="J17" s="1">
        <v>1</v>
      </c>
    </row>
    <row r="18" spans="1:10" x14ac:dyDescent="0.35">
      <c r="A18" s="153">
        <v>1063556</v>
      </c>
      <c r="B18" s="15" t="s">
        <v>224</v>
      </c>
      <c r="C18" s="153">
        <v>1063556</v>
      </c>
      <c r="D18" s="15" t="s">
        <v>225</v>
      </c>
      <c r="E18" s="54">
        <v>1920000</v>
      </c>
      <c r="F18" s="16" t="s">
        <v>611</v>
      </c>
      <c r="G18" s="16"/>
      <c r="H18" s="16"/>
      <c r="I18" s="1">
        <v>1</v>
      </c>
      <c r="J18" s="1">
        <v>1</v>
      </c>
    </row>
    <row r="19" spans="1:10" x14ac:dyDescent="0.35">
      <c r="A19" s="153">
        <v>1061953</v>
      </c>
      <c r="B19" s="15" t="s">
        <v>230</v>
      </c>
      <c r="C19" s="153">
        <v>1061953</v>
      </c>
      <c r="D19" s="15" t="s">
        <v>231</v>
      </c>
      <c r="E19" s="54">
        <v>4080000</v>
      </c>
      <c r="F19" s="16" t="s">
        <v>611</v>
      </c>
      <c r="G19" s="16"/>
      <c r="H19" s="16"/>
      <c r="I19" s="1">
        <v>1</v>
      </c>
      <c r="J19" s="1">
        <v>1</v>
      </c>
    </row>
    <row r="20" spans="1:10" x14ac:dyDescent="0.35">
      <c r="A20" s="153">
        <v>1063035</v>
      </c>
      <c r="B20" s="15" t="s">
        <v>236</v>
      </c>
      <c r="C20" s="153">
        <v>1063035</v>
      </c>
      <c r="D20" s="15" t="s">
        <v>237</v>
      </c>
      <c r="E20" s="54">
        <v>4080000</v>
      </c>
      <c r="F20" s="16" t="s">
        <v>611</v>
      </c>
      <c r="G20" s="16"/>
      <c r="H20" s="16"/>
      <c r="I20" s="1">
        <v>1</v>
      </c>
      <c r="J20" s="1">
        <v>1</v>
      </c>
    </row>
    <row r="21" spans="1:10" x14ac:dyDescent="0.35">
      <c r="A21" s="153">
        <v>1063783</v>
      </c>
      <c r="B21" s="15" t="s">
        <v>242</v>
      </c>
      <c r="C21" s="153">
        <v>1063783</v>
      </c>
      <c r="D21" s="15" t="s">
        <v>243</v>
      </c>
      <c r="E21" s="54">
        <v>4080000</v>
      </c>
      <c r="F21" s="16" t="s">
        <v>611</v>
      </c>
      <c r="G21" s="16"/>
      <c r="H21" s="16"/>
      <c r="I21" s="1">
        <v>1</v>
      </c>
      <c r="J21" s="1">
        <v>1</v>
      </c>
    </row>
    <row r="22" spans="1:10" x14ac:dyDescent="0.35">
      <c r="A22" s="153">
        <v>1062476</v>
      </c>
      <c r="B22" s="15" t="s">
        <v>246</v>
      </c>
      <c r="C22" s="153">
        <v>1062476</v>
      </c>
      <c r="D22" s="15" t="s">
        <v>247</v>
      </c>
      <c r="E22" s="54">
        <v>4080000</v>
      </c>
      <c r="F22" s="16" t="s">
        <v>611</v>
      </c>
      <c r="G22" s="16"/>
      <c r="H22" s="16"/>
      <c r="I22" s="1">
        <v>1</v>
      </c>
      <c r="J22" s="1">
        <v>1</v>
      </c>
    </row>
    <row r="23" spans="1:10" x14ac:dyDescent="0.35">
      <c r="A23" s="153">
        <v>1078737</v>
      </c>
      <c r="B23" s="15" t="s">
        <v>248</v>
      </c>
      <c r="C23" s="153">
        <v>1078737</v>
      </c>
      <c r="D23" s="15" t="s">
        <v>249</v>
      </c>
      <c r="E23" s="54">
        <v>4080000</v>
      </c>
      <c r="F23" s="16" t="s">
        <v>611</v>
      </c>
      <c r="G23" s="16"/>
      <c r="H23" s="16"/>
      <c r="I23" s="1">
        <v>1</v>
      </c>
      <c r="J23" s="1">
        <v>1</v>
      </c>
    </row>
    <row r="24" spans="1:10" x14ac:dyDescent="0.35">
      <c r="A24" s="153">
        <v>1063040</v>
      </c>
      <c r="B24" s="15" t="s">
        <v>250</v>
      </c>
      <c r="C24" s="153">
        <v>1063040</v>
      </c>
      <c r="D24" s="15" t="s">
        <v>251</v>
      </c>
      <c r="E24" s="54">
        <v>4080000</v>
      </c>
      <c r="F24" s="16" t="s">
        <v>611</v>
      </c>
      <c r="G24" s="16"/>
      <c r="H24" s="16"/>
      <c r="I24" s="1">
        <v>1</v>
      </c>
      <c r="J24" s="1">
        <v>1</v>
      </c>
    </row>
    <row r="25" spans="1:10" x14ac:dyDescent="0.35">
      <c r="A25" s="153">
        <v>1061950</v>
      </c>
      <c r="B25" s="15" t="s">
        <v>252</v>
      </c>
      <c r="C25" s="153">
        <v>1061950</v>
      </c>
      <c r="D25" s="15" t="s">
        <v>253</v>
      </c>
      <c r="E25" s="54">
        <v>4080000</v>
      </c>
      <c r="F25" s="16" t="s">
        <v>611</v>
      </c>
      <c r="G25" s="16"/>
      <c r="H25" s="16"/>
      <c r="I25" s="1">
        <v>1</v>
      </c>
      <c r="J25" s="1">
        <v>1</v>
      </c>
    </row>
    <row r="26" spans="1:10" x14ac:dyDescent="0.35">
      <c r="A26" s="153">
        <v>1063555</v>
      </c>
      <c r="B26" s="15" t="s">
        <v>254</v>
      </c>
      <c r="C26" s="153">
        <v>1063555</v>
      </c>
      <c r="D26" s="15" t="s">
        <v>255</v>
      </c>
      <c r="E26" s="54">
        <v>3672000</v>
      </c>
      <c r="F26" s="16" t="s">
        <v>611</v>
      </c>
      <c r="G26" s="16"/>
      <c r="H26" s="16"/>
      <c r="I26" s="1">
        <v>1</v>
      </c>
      <c r="J26" s="1">
        <v>1</v>
      </c>
    </row>
    <row r="27" spans="1:10" x14ac:dyDescent="0.35">
      <c r="A27" s="153">
        <v>1063039</v>
      </c>
      <c r="B27" s="15" t="s">
        <v>256</v>
      </c>
      <c r="C27" s="153">
        <v>1063039</v>
      </c>
      <c r="D27" s="15" t="s">
        <v>257</v>
      </c>
      <c r="E27" s="54">
        <v>4284000</v>
      </c>
      <c r="F27" s="16" t="s">
        <v>611</v>
      </c>
      <c r="G27" s="16"/>
      <c r="H27" s="16"/>
      <c r="I27" s="1">
        <v>1</v>
      </c>
      <c r="J27" s="1">
        <v>1</v>
      </c>
    </row>
    <row r="28" spans="1:10" x14ac:dyDescent="0.35">
      <c r="A28" s="153">
        <v>1063162</v>
      </c>
      <c r="B28" s="15" t="s">
        <v>258</v>
      </c>
      <c r="C28" s="153">
        <v>1063162</v>
      </c>
      <c r="D28" s="15" t="s">
        <v>259</v>
      </c>
      <c r="E28" s="54">
        <v>4284000</v>
      </c>
      <c r="F28" s="16" t="s">
        <v>611</v>
      </c>
      <c r="G28" s="16"/>
      <c r="H28" s="16"/>
      <c r="I28" s="1">
        <v>1</v>
      </c>
      <c r="J28" s="1">
        <v>1</v>
      </c>
    </row>
    <row r="29" spans="1:10" x14ac:dyDescent="0.35">
      <c r="A29" s="153">
        <v>1063554</v>
      </c>
      <c r="B29" s="15" t="s">
        <v>260</v>
      </c>
      <c r="C29" s="153">
        <v>1063554</v>
      </c>
      <c r="D29" s="15" t="s">
        <v>261</v>
      </c>
      <c r="E29" s="54">
        <v>4896000</v>
      </c>
      <c r="F29" s="16" t="s">
        <v>611</v>
      </c>
      <c r="G29" s="16"/>
      <c r="H29" s="16"/>
      <c r="I29" s="1">
        <v>1</v>
      </c>
      <c r="J29" s="1">
        <v>1</v>
      </c>
    </row>
    <row r="30" spans="1:10" x14ac:dyDescent="0.35">
      <c r="A30" s="153">
        <v>1063540</v>
      </c>
      <c r="B30" s="15" t="s">
        <v>262</v>
      </c>
      <c r="C30" s="153">
        <v>1063540</v>
      </c>
      <c r="D30" s="15" t="s">
        <v>263</v>
      </c>
      <c r="E30" s="54">
        <v>4080000</v>
      </c>
      <c r="F30" s="16" t="s">
        <v>611</v>
      </c>
      <c r="G30" s="16"/>
      <c r="H30" s="16"/>
      <c r="I30" s="1">
        <v>1</v>
      </c>
      <c r="J30" s="1">
        <v>1</v>
      </c>
    </row>
    <row r="31" spans="1:10" x14ac:dyDescent="0.35">
      <c r="A31" s="153">
        <v>1062083</v>
      </c>
      <c r="B31" s="15" t="s">
        <v>264</v>
      </c>
      <c r="C31" s="153">
        <v>1062083</v>
      </c>
      <c r="D31" s="15" t="s">
        <v>265</v>
      </c>
      <c r="E31" s="54">
        <v>4080000</v>
      </c>
      <c r="F31" s="16" t="s">
        <v>611</v>
      </c>
      <c r="G31" s="16"/>
      <c r="H31" s="16"/>
      <c r="I31" s="1">
        <v>1</v>
      </c>
      <c r="J31" s="1">
        <v>1</v>
      </c>
    </row>
    <row r="32" spans="1:10" x14ac:dyDescent="0.35">
      <c r="A32" s="153">
        <v>1063038</v>
      </c>
      <c r="B32" s="15" t="s">
        <v>266</v>
      </c>
      <c r="C32" s="153">
        <v>1063038</v>
      </c>
      <c r="D32" s="15" t="s">
        <v>267</v>
      </c>
      <c r="E32" s="54">
        <v>4080000</v>
      </c>
      <c r="F32" s="16" t="s">
        <v>611</v>
      </c>
      <c r="G32" s="16"/>
      <c r="H32" s="16"/>
      <c r="I32" s="1">
        <v>1</v>
      </c>
      <c r="J32" s="1">
        <v>1</v>
      </c>
    </row>
    <row r="33" spans="1:10" x14ac:dyDescent="0.35">
      <c r="A33" s="153">
        <v>1062350</v>
      </c>
      <c r="B33" s="15" t="s">
        <v>268</v>
      </c>
      <c r="C33" s="153">
        <v>1062350</v>
      </c>
      <c r="D33" s="15" t="s">
        <v>269</v>
      </c>
      <c r="E33" s="54">
        <v>4080000</v>
      </c>
      <c r="F33" s="16" t="s">
        <v>611</v>
      </c>
      <c r="G33" s="16"/>
      <c r="H33" s="16"/>
      <c r="I33" s="1">
        <v>1</v>
      </c>
      <c r="J33" s="1">
        <v>1</v>
      </c>
    </row>
    <row r="34" spans="1:10" x14ac:dyDescent="0.35">
      <c r="A34" s="153">
        <v>1062985</v>
      </c>
      <c r="B34" s="15" t="s">
        <v>270</v>
      </c>
      <c r="C34" s="153">
        <v>1062985</v>
      </c>
      <c r="D34" s="15" t="s">
        <v>271</v>
      </c>
      <c r="E34" s="54">
        <v>4896000</v>
      </c>
      <c r="F34" s="16" t="s">
        <v>611</v>
      </c>
      <c r="G34" s="16"/>
      <c r="H34" s="16"/>
      <c r="I34" s="1">
        <v>1</v>
      </c>
      <c r="J34" s="1">
        <v>1</v>
      </c>
    </row>
    <row r="35" spans="1:10" x14ac:dyDescent="0.35">
      <c r="A35" s="153">
        <v>1062024</v>
      </c>
      <c r="B35" s="15" t="s">
        <v>272</v>
      </c>
      <c r="C35" s="153">
        <v>1062024</v>
      </c>
      <c r="D35" s="15" t="s">
        <v>273</v>
      </c>
      <c r="E35" s="54">
        <v>4896000</v>
      </c>
      <c r="F35" s="16" t="s">
        <v>611</v>
      </c>
      <c r="G35" s="16"/>
      <c r="H35" s="16"/>
      <c r="I35" s="1">
        <v>1</v>
      </c>
      <c r="J35" s="1">
        <v>1</v>
      </c>
    </row>
    <row r="36" spans="1:10" x14ac:dyDescent="0.35">
      <c r="A36" s="153">
        <v>1062106</v>
      </c>
      <c r="B36" s="15" t="s">
        <v>274</v>
      </c>
      <c r="C36" s="153">
        <v>1062106</v>
      </c>
      <c r="D36" s="15" t="s">
        <v>275</v>
      </c>
      <c r="E36" s="54">
        <v>3876000</v>
      </c>
      <c r="F36" s="16" t="s">
        <v>611</v>
      </c>
      <c r="G36" s="16"/>
      <c r="H36" s="16"/>
      <c r="I36" s="1">
        <v>1</v>
      </c>
      <c r="J36" s="1">
        <v>1</v>
      </c>
    </row>
    <row r="37" spans="1:10" x14ac:dyDescent="0.35">
      <c r="A37" s="153">
        <v>1063016</v>
      </c>
      <c r="B37" s="15" t="s">
        <v>276</v>
      </c>
      <c r="C37" s="153">
        <v>1063016</v>
      </c>
      <c r="D37" s="15" t="s">
        <v>277</v>
      </c>
      <c r="E37" s="54">
        <v>3876000</v>
      </c>
      <c r="F37" s="16" t="s">
        <v>611</v>
      </c>
      <c r="G37" s="16"/>
      <c r="H37" s="16"/>
      <c r="I37" s="1">
        <v>1</v>
      </c>
      <c r="J37" s="1">
        <v>1</v>
      </c>
    </row>
    <row r="38" spans="1:10" x14ac:dyDescent="0.35">
      <c r="A38" s="153">
        <v>1063174</v>
      </c>
      <c r="B38" s="15" t="s">
        <v>278</v>
      </c>
      <c r="C38" s="153">
        <v>1063174</v>
      </c>
      <c r="D38" s="15" t="s">
        <v>279</v>
      </c>
      <c r="E38" s="54">
        <v>3468000</v>
      </c>
      <c r="F38" s="16" t="s">
        <v>611</v>
      </c>
      <c r="G38" s="16"/>
      <c r="H38" s="16"/>
      <c r="I38" s="1">
        <v>1</v>
      </c>
      <c r="J38" s="1">
        <v>1</v>
      </c>
    </row>
    <row r="39" spans="1:10" x14ac:dyDescent="0.35">
      <c r="A39" s="153">
        <v>1061910</v>
      </c>
      <c r="B39" s="15" t="s">
        <v>280</v>
      </c>
      <c r="C39" s="153">
        <v>1061910</v>
      </c>
      <c r="D39" s="15" t="s">
        <v>281</v>
      </c>
      <c r="E39" s="54">
        <v>4896000</v>
      </c>
      <c r="F39" s="16" t="s">
        <v>611</v>
      </c>
      <c r="G39" s="16"/>
      <c r="H39" s="16"/>
      <c r="I39" s="1">
        <v>1</v>
      </c>
      <c r="J39" s="1">
        <v>1</v>
      </c>
    </row>
    <row r="40" spans="1:10" x14ac:dyDescent="0.35">
      <c r="A40" s="153">
        <v>1062058</v>
      </c>
      <c r="B40" s="15" t="s">
        <v>282</v>
      </c>
      <c r="C40" s="153">
        <v>1062058</v>
      </c>
      <c r="D40" s="15" t="s">
        <v>283</v>
      </c>
      <c r="E40" s="54">
        <v>4896000</v>
      </c>
      <c r="F40" s="16" t="s">
        <v>611</v>
      </c>
      <c r="G40" s="16"/>
      <c r="H40" s="16"/>
      <c r="I40" s="1">
        <v>1</v>
      </c>
      <c r="J40" s="1">
        <v>1</v>
      </c>
    </row>
    <row r="41" spans="1:10" x14ac:dyDescent="0.35">
      <c r="A41" s="153">
        <v>1063153</v>
      </c>
      <c r="B41" s="15" t="s">
        <v>284</v>
      </c>
      <c r="C41" s="153">
        <v>1063153</v>
      </c>
      <c r="D41" s="15" t="s">
        <v>285</v>
      </c>
      <c r="E41" s="54">
        <v>4080000</v>
      </c>
      <c r="F41" s="16" t="s">
        <v>611</v>
      </c>
      <c r="G41" s="16"/>
      <c r="H41" s="16"/>
      <c r="I41" s="1">
        <v>1</v>
      </c>
      <c r="J41" s="1">
        <v>1</v>
      </c>
    </row>
    <row r="42" spans="1:10" x14ac:dyDescent="0.35">
      <c r="A42" s="153">
        <v>1063036</v>
      </c>
      <c r="B42" s="15" t="s">
        <v>286</v>
      </c>
      <c r="C42" s="153">
        <v>1063036</v>
      </c>
      <c r="D42" s="15" t="s">
        <v>287</v>
      </c>
      <c r="E42" s="54">
        <v>4080000</v>
      </c>
      <c r="F42" s="16" t="s">
        <v>611</v>
      </c>
      <c r="G42" s="16"/>
      <c r="H42" s="16"/>
      <c r="I42" s="1">
        <v>1</v>
      </c>
      <c r="J42" s="1">
        <v>1</v>
      </c>
    </row>
    <row r="43" spans="1:10" x14ac:dyDescent="0.35">
      <c r="A43" s="153">
        <v>1062349</v>
      </c>
      <c r="B43" s="15" t="s">
        <v>288</v>
      </c>
      <c r="C43" s="153">
        <v>1062349</v>
      </c>
      <c r="D43" s="15" t="s">
        <v>289</v>
      </c>
      <c r="E43" s="54">
        <v>4080000</v>
      </c>
      <c r="F43" s="16" t="s">
        <v>611</v>
      </c>
      <c r="G43" s="16"/>
      <c r="H43" s="16"/>
      <c r="I43" s="1">
        <v>1</v>
      </c>
      <c r="J43" s="1">
        <v>1</v>
      </c>
    </row>
    <row r="44" spans="1:10" x14ac:dyDescent="0.35">
      <c r="A44" s="153">
        <v>1071993</v>
      </c>
      <c r="B44" s="15" t="s">
        <v>290</v>
      </c>
      <c r="C44" s="153">
        <v>1071993</v>
      </c>
      <c r="D44" s="15" t="s">
        <v>291</v>
      </c>
      <c r="E44" s="54">
        <v>4080000</v>
      </c>
      <c r="F44" s="16" t="s">
        <v>611</v>
      </c>
      <c r="G44" s="16"/>
      <c r="H44" s="16"/>
      <c r="I44" s="1">
        <v>1</v>
      </c>
      <c r="J44" s="1">
        <v>1</v>
      </c>
    </row>
    <row r="45" spans="1:10" x14ac:dyDescent="0.35">
      <c r="A45" s="153">
        <v>1063538</v>
      </c>
      <c r="B45" s="15" t="s">
        <v>292</v>
      </c>
      <c r="C45" s="153">
        <v>1063538</v>
      </c>
      <c r="D45" s="15" t="s">
        <v>293</v>
      </c>
      <c r="E45" s="54">
        <v>4896000</v>
      </c>
      <c r="F45" s="16" t="s">
        <v>611</v>
      </c>
      <c r="G45" s="16"/>
      <c r="H45" s="16"/>
      <c r="I45" s="1">
        <v>1</v>
      </c>
      <c r="J45" s="1">
        <v>1</v>
      </c>
    </row>
    <row r="46" spans="1:10" x14ac:dyDescent="0.35">
      <c r="A46" s="153">
        <v>1063530</v>
      </c>
      <c r="B46" s="15" t="s">
        <v>294</v>
      </c>
      <c r="C46" s="153">
        <v>1063530</v>
      </c>
      <c r="D46" s="15" t="s">
        <v>295</v>
      </c>
      <c r="E46" s="54">
        <v>4080000</v>
      </c>
      <c r="F46" s="16" t="s">
        <v>611</v>
      </c>
      <c r="G46" s="16"/>
      <c r="H46" s="16"/>
      <c r="I46" s="1">
        <v>1</v>
      </c>
      <c r="J46" s="1">
        <v>1</v>
      </c>
    </row>
    <row r="47" spans="1:10" x14ac:dyDescent="0.35">
      <c r="A47" s="153">
        <v>1062105</v>
      </c>
      <c r="B47" s="15" t="s">
        <v>296</v>
      </c>
      <c r="C47" s="153">
        <v>1062105</v>
      </c>
      <c r="D47" s="15" t="s">
        <v>297</v>
      </c>
      <c r="E47" s="54">
        <v>4080000</v>
      </c>
      <c r="F47" s="16" t="s">
        <v>611</v>
      </c>
      <c r="G47" s="16"/>
      <c r="H47" s="16"/>
      <c r="I47" s="1">
        <v>1</v>
      </c>
      <c r="J47" s="1">
        <v>1</v>
      </c>
    </row>
    <row r="48" spans="1:10" x14ac:dyDescent="0.35">
      <c r="A48" s="153">
        <v>1061952</v>
      </c>
      <c r="B48" s="15" t="s">
        <v>298</v>
      </c>
      <c r="C48" s="153">
        <v>1061952</v>
      </c>
      <c r="D48" s="15" t="s">
        <v>299</v>
      </c>
      <c r="E48" s="54">
        <v>4080000</v>
      </c>
      <c r="F48" s="16" t="s">
        <v>611</v>
      </c>
      <c r="G48" s="16"/>
      <c r="H48" s="16"/>
      <c r="I48" s="1">
        <v>1</v>
      </c>
      <c r="J48" s="1">
        <v>1</v>
      </c>
    </row>
    <row r="49" spans="1:10" x14ac:dyDescent="0.35">
      <c r="A49" s="153">
        <v>1063384</v>
      </c>
      <c r="B49" s="15" t="s">
        <v>300</v>
      </c>
      <c r="C49" s="153">
        <v>1063384</v>
      </c>
      <c r="D49" s="15" t="s">
        <v>301</v>
      </c>
      <c r="E49" s="54">
        <v>4896000</v>
      </c>
      <c r="F49" s="16" t="s">
        <v>611</v>
      </c>
      <c r="G49" s="16"/>
      <c r="H49" s="16"/>
      <c r="I49" s="1">
        <v>1</v>
      </c>
      <c r="J49" s="1">
        <v>1</v>
      </c>
    </row>
    <row r="50" spans="1:10" x14ac:dyDescent="0.35">
      <c r="A50" s="153">
        <v>1061951</v>
      </c>
      <c r="B50" s="15" t="s">
        <v>302</v>
      </c>
      <c r="C50" s="153">
        <v>1061951</v>
      </c>
      <c r="D50" s="15" t="s">
        <v>303</v>
      </c>
      <c r="E50" s="54">
        <v>4896000</v>
      </c>
      <c r="F50" s="16" t="s">
        <v>611</v>
      </c>
      <c r="G50" s="16"/>
      <c r="H50" s="16"/>
      <c r="I50" s="1">
        <v>1</v>
      </c>
      <c r="J50" s="1">
        <v>1</v>
      </c>
    </row>
    <row r="51" spans="1:10" x14ac:dyDescent="0.35">
      <c r="A51" s="153">
        <v>1063146</v>
      </c>
      <c r="B51" s="15" t="s">
        <v>304</v>
      </c>
      <c r="C51" s="153">
        <v>1063146</v>
      </c>
      <c r="D51" s="15" t="s">
        <v>305</v>
      </c>
      <c r="E51" s="54">
        <v>4080000</v>
      </c>
      <c r="F51" s="16" t="s">
        <v>611</v>
      </c>
      <c r="G51" s="16"/>
      <c r="H51" s="16"/>
      <c r="I51" s="1">
        <v>1</v>
      </c>
      <c r="J51" s="1">
        <v>1</v>
      </c>
    </row>
    <row r="52" spans="1:10" x14ac:dyDescent="0.35">
      <c r="A52" s="153">
        <v>1063173</v>
      </c>
      <c r="B52" s="15" t="s">
        <v>306</v>
      </c>
      <c r="C52" s="153">
        <v>1063173</v>
      </c>
      <c r="D52" s="15" t="s">
        <v>307</v>
      </c>
      <c r="E52" s="54">
        <v>4080000</v>
      </c>
      <c r="F52" s="16" t="s">
        <v>611</v>
      </c>
      <c r="G52" s="16"/>
      <c r="H52" s="16"/>
      <c r="I52" s="1">
        <v>1</v>
      </c>
      <c r="J52" s="1">
        <v>1</v>
      </c>
    </row>
    <row r="53" spans="1:10" x14ac:dyDescent="0.35">
      <c r="A53" s="153">
        <v>1062089</v>
      </c>
      <c r="B53" s="15" t="s">
        <v>308</v>
      </c>
      <c r="C53" s="153">
        <v>1062089</v>
      </c>
      <c r="D53" s="15" t="s">
        <v>309</v>
      </c>
      <c r="E53" s="54">
        <v>3468000</v>
      </c>
      <c r="F53" s="16" t="s">
        <v>611</v>
      </c>
      <c r="G53" s="16"/>
      <c r="H53" s="16"/>
      <c r="I53" s="1">
        <v>1</v>
      </c>
      <c r="J53" s="1">
        <v>1</v>
      </c>
    </row>
    <row r="54" spans="1:10" x14ac:dyDescent="0.35">
      <c r="A54" s="153">
        <v>1063549</v>
      </c>
      <c r="B54" s="15" t="s">
        <v>310</v>
      </c>
      <c r="C54" s="153">
        <v>1063549</v>
      </c>
      <c r="D54" s="15" t="s">
        <v>311</v>
      </c>
      <c r="E54" s="54">
        <v>4896000</v>
      </c>
      <c r="F54" s="16" t="s">
        <v>611</v>
      </c>
      <c r="G54" s="16"/>
      <c r="H54" s="16"/>
      <c r="I54" s="1">
        <v>1</v>
      </c>
      <c r="J54" s="1">
        <v>1</v>
      </c>
    </row>
    <row r="55" spans="1:10" x14ac:dyDescent="0.35">
      <c r="A55" s="153">
        <v>1062088</v>
      </c>
      <c r="B55" s="15" t="s">
        <v>312</v>
      </c>
      <c r="C55" s="153">
        <v>1062088</v>
      </c>
      <c r="D55" s="15" t="s">
        <v>313</v>
      </c>
      <c r="E55" s="54">
        <v>4896000</v>
      </c>
      <c r="F55" s="16" t="s">
        <v>611</v>
      </c>
      <c r="G55" s="16"/>
      <c r="H55" s="16"/>
      <c r="I55" s="1">
        <v>1</v>
      </c>
      <c r="J55" s="1">
        <v>1</v>
      </c>
    </row>
    <row r="56" spans="1:10" x14ac:dyDescent="0.35">
      <c r="A56" s="153">
        <v>1062348</v>
      </c>
      <c r="B56" s="15" t="s">
        <v>314</v>
      </c>
      <c r="C56" s="153">
        <v>1062348</v>
      </c>
      <c r="D56" s="15" t="s">
        <v>315</v>
      </c>
      <c r="E56" s="54">
        <v>3264000</v>
      </c>
      <c r="F56" s="16" t="s">
        <v>611</v>
      </c>
      <c r="G56" s="16"/>
      <c r="H56" s="16"/>
      <c r="I56" s="1">
        <v>1</v>
      </c>
      <c r="J56" s="1">
        <v>1</v>
      </c>
    </row>
    <row r="57" spans="1:10" x14ac:dyDescent="0.35">
      <c r="A57" s="153">
        <v>1063015</v>
      </c>
      <c r="B57" s="15" t="s">
        <v>316</v>
      </c>
      <c r="C57" s="153">
        <v>1063015</v>
      </c>
      <c r="D57" s="15" t="s">
        <v>317</v>
      </c>
      <c r="E57" s="54">
        <v>3876000</v>
      </c>
      <c r="F57" s="16" t="s">
        <v>611</v>
      </c>
      <c r="G57" s="16"/>
      <c r="H57" s="16"/>
      <c r="I57" s="1">
        <v>1</v>
      </c>
      <c r="J57" s="1">
        <v>1</v>
      </c>
    </row>
    <row r="58" spans="1:10" x14ac:dyDescent="0.35">
      <c r="A58" s="153">
        <v>1061925</v>
      </c>
      <c r="B58" s="15" t="s">
        <v>318</v>
      </c>
      <c r="C58" s="153">
        <v>1061925</v>
      </c>
      <c r="D58" s="15" t="s">
        <v>319</v>
      </c>
      <c r="E58" s="54">
        <v>3672000</v>
      </c>
      <c r="F58" s="16" t="s">
        <v>611</v>
      </c>
      <c r="G58" s="16"/>
      <c r="H58" s="16"/>
      <c r="I58" s="1">
        <v>1</v>
      </c>
      <c r="J58" s="1">
        <v>1</v>
      </c>
    </row>
    <row r="59" spans="1:10" x14ac:dyDescent="0.35">
      <c r="A59" s="153">
        <v>1062087</v>
      </c>
      <c r="B59" s="15" t="s">
        <v>320</v>
      </c>
      <c r="C59" s="153">
        <v>1062087</v>
      </c>
      <c r="D59" s="15" t="s">
        <v>321</v>
      </c>
      <c r="E59" s="54">
        <v>3672000</v>
      </c>
      <c r="F59" s="16" t="s">
        <v>611</v>
      </c>
      <c r="G59" s="16"/>
      <c r="H59" s="16"/>
      <c r="I59" s="1">
        <v>1</v>
      </c>
      <c r="J59" s="1">
        <v>1</v>
      </c>
    </row>
    <row r="60" spans="1:10" x14ac:dyDescent="0.35">
      <c r="A60" s="153">
        <v>1063547</v>
      </c>
      <c r="B60" s="15" t="s">
        <v>322</v>
      </c>
      <c r="C60" s="153">
        <v>1063547</v>
      </c>
      <c r="D60" s="15" t="s">
        <v>323</v>
      </c>
      <c r="E60" s="54">
        <v>3468000</v>
      </c>
      <c r="F60" s="16" t="s">
        <v>611</v>
      </c>
      <c r="G60" s="16"/>
      <c r="H60" s="16"/>
      <c r="I60" s="1">
        <v>1</v>
      </c>
      <c r="J60" s="1">
        <v>1</v>
      </c>
    </row>
    <row r="61" spans="1:10" x14ac:dyDescent="0.35">
      <c r="A61" s="153">
        <v>1063532</v>
      </c>
      <c r="B61" s="15" t="s">
        <v>324</v>
      </c>
      <c r="C61" s="153">
        <v>1063532</v>
      </c>
      <c r="D61" s="15" t="s">
        <v>325</v>
      </c>
      <c r="E61" s="54">
        <v>4896000</v>
      </c>
      <c r="F61" s="16" t="s">
        <v>611</v>
      </c>
      <c r="G61" s="16"/>
      <c r="H61" s="16"/>
      <c r="I61" s="1">
        <v>1</v>
      </c>
      <c r="J61" s="1">
        <v>1</v>
      </c>
    </row>
    <row r="62" spans="1:10" x14ac:dyDescent="0.35">
      <c r="A62" s="153">
        <v>1063172</v>
      </c>
      <c r="B62" s="15" t="s">
        <v>326</v>
      </c>
      <c r="C62" s="153">
        <v>1063172</v>
      </c>
      <c r="D62" s="15" t="s">
        <v>327</v>
      </c>
      <c r="E62" s="54">
        <v>4896000</v>
      </c>
      <c r="F62" s="16" t="s">
        <v>611</v>
      </c>
      <c r="G62" s="16"/>
      <c r="H62" s="16"/>
      <c r="I62" s="1">
        <v>1</v>
      </c>
      <c r="J62" s="1">
        <v>1</v>
      </c>
    </row>
    <row r="63" spans="1:10" x14ac:dyDescent="0.35">
      <c r="A63" s="153">
        <v>1063531</v>
      </c>
      <c r="B63" s="15" t="s">
        <v>328</v>
      </c>
      <c r="C63" s="153">
        <v>1063531</v>
      </c>
      <c r="D63" s="15" t="s">
        <v>329</v>
      </c>
      <c r="E63" s="54">
        <v>3468000</v>
      </c>
      <c r="F63" s="16" t="s">
        <v>611</v>
      </c>
      <c r="G63" s="16"/>
      <c r="H63" s="16"/>
      <c r="I63" s="1">
        <v>1</v>
      </c>
      <c r="J63" s="1">
        <v>1</v>
      </c>
    </row>
    <row r="64" spans="1:10" x14ac:dyDescent="0.35">
      <c r="A64" s="153">
        <v>1062338</v>
      </c>
      <c r="B64" s="15" t="s">
        <v>330</v>
      </c>
      <c r="C64" s="153">
        <v>1062338</v>
      </c>
      <c r="D64" s="15" t="s">
        <v>331</v>
      </c>
      <c r="E64" s="54">
        <v>4080000</v>
      </c>
      <c r="F64" s="16" t="s">
        <v>611</v>
      </c>
      <c r="G64" s="16"/>
      <c r="H64" s="16"/>
      <c r="I64" s="1">
        <v>1</v>
      </c>
      <c r="J64" s="1">
        <v>1</v>
      </c>
    </row>
    <row r="65" spans="1:10" x14ac:dyDescent="0.35">
      <c r="A65" s="153">
        <v>1063545</v>
      </c>
      <c r="B65" s="15" t="s">
        <v>332</v>
      </c>
      <c r="C65" s="153">
        <v>1063545</v>
      </c>
      <c r="D65" s="15" t="s">
        <v>333</v>
      </c>
      <c r="E65" s="54">
        <v>4080000</v>
      </c>
      <c r="F65" s="16" t="s">
        <v>611</v>
      </c>
      <c r="G65" s="16"/>
      <c r="H65" s="16"/>
      <c r="I65" s="1">
        <v>1</v>
      </c>
      <c r="J65" s="1">
        <v>1</v>
      </c>
    </row>
    <row r="66" spans="1:10" x14ac:dyDescent="0.35">
      <c r="A66" s="153">
        <v>1061909</v>
      </c>
      <c r="B66" s="15" t="s">
        <v>334</v>
      </c>
      <c r="C66" s="153">
        <v>1061909</v>
      </c>
      <c r="D66" s="15" t="s">
        <v>335</v>
      </c>
      <c r="E66" s="54">
        <v>4896000</v>
      </c>
      <c r="F66" s="16" t="s">
        <v>611</v>
      </c>
      <c r="G66" s="16"/>
      <c r="H66" s="16"/>
      <c r="I66" s="1">
        <v>1</v>
      </c>
      <c r="J66" s="1">
        <v>1</v>
      </c>
    </row>
    <row r="67" spans="1:10" x14ac:dyDescent="0.35">
      <c r="A67" s="153">
        <v>1062239</v>
      </c>
      <c r="B67" s="15" t="s">
        <v>336</v>
      </c>
      <c r="C67" s="153">
        <v>1062239</v>
      </c>
      <c r="D67" s="15" t="s">
        <v>337</v>
      </c>
      <c r="E67" s="54">
        <v>4488000</v>
      </c>
      <c r="F67" s="16" t="s">
        <v>611</v>
      </c>
      <c r="G67" s="16"/>
      <c r="H67" s="16"/>
      <c r="I67" s="1">
        <v>1</v>
      </c>
      <c r="J67" s="1">
        <v>1</v>
      </c>
    </row>
    <row r="68" spans="1:10" x14ac:dyDescent="0.35">
      <c r="A68" s="153">
        <v>1078764</v>
      </c>
      <c r="B68" s="15" t="s">
        <v>338</v>
      </c>
      <c r="C68" s="153">
        <v>1078764</v>
      </c>
      <c r="D68" s="15" t="s">
        <v>339</v>
      </c>
      <c r="E68" s="54">
        <v>4080000</v>
      </c>
      <c r="F68" s="16" t="s">
        <v>611</v>
      </c>
      <c r="G68" s="16"/>
      <c r="H68" s="16"/>
      <c r="I68" s="1">
        <v>1</v>
      </c>
      <c r="J68" s="1">
        <v>1</v>
      </c>
    </row>
    <row r="69" spans="1:10" x14ac:dyDescent="0.35">
      <c r="A69" s="153">
        <v>1063581</v>
      </c>
      <c r="B69" s="15" t="s">
        <v>340</v>
      </c>
      <c r="C69" s="153">
        <v>1063581</v>
      </c>
      <c r="D69" s="15" t="s">
        <v>341</v>
      </c>
      <c r="E69" s="54">
        <v>2160000</v>
      </c>
      <c r="F69" s="16" t="s">
        <v>611</v>
      </c>
      <c r="G69" s="16"/>
      <c r="H69" s="16"/>
      <c r="I69" s="1">
        <v>1</v>
      </c>
      <c r="J69" s="1">
        <v>1</v>
      </c>
    </row>
    <row r="70" spans="1:10" x14ac:dyDescent="0.35">
      <c r="A70" s="153">
        <v>1078763</v>
      </c>
      <c r="B70" s="15" t="s">
        <v>342</v>
      </c>
      <c r="C70" s="153">
        <v>1078763</v>
      </c>
      <c r="D70" s="15" t="s">
        <v>343</v>
      </c>
      <c r="E70" s="54">
        <v>3672000</v>
      </c>
      <c r="F70" s="16" t="s">
        <v>611</v>
      </c>
      <c r="G70" s="16"/>
      <c r="H70" s="16"/>
      <c r="I70" s="1">
        <v>1</v>
      </c>
      <c r="J70" s="1">
        <v>1</v>
      </c>
    </row>
    <row r="71" spans="1:10" x14ac:dyDescent="0.35">
      <c r="A71" s="153">
        <v>1063573</v>
      </c>
      <c r="B71" s="15" t="s">
        <v>344</v>
      </c>
      <c r="C71" s="153">
        <v>1063573</v>
      </c>
      <c r="D71" s="15" t="s">
        <v>345</v>
      </c>
      <c r="E71" s="54">
        <v>3876000</v>
      </c>
      <c r="F71" s="16" t="s">
        <v>611</v>
      </c>
      <c r="G71" s="16"/>
      <c r="H71" s="16"/>
      <c r="I71" s="1">
        <v>1</v>
      </c>
      <c r="J71" s="1">
        <v>1</v>
      </c>
    </row>
    <row r="72" spans="1:10" x14ac:dyDescent="0.35">
      <c r="A72" s="153">
        <v>1061940</v>
      </c>
      <c r="B72" s="15" t="s">
        <v>346</v>
      </c>
      <c r="C72" s="153">
        <v>1061940</v>
      </c>
      <c r="D72" s="15" t="s">
        <v>347</v>
      </c>
      <c r="E72" s="54">
        <v>3876000</v>
      </c>
      <c r="F72" s="16" t="s">
        <v>611</v>
      </c>
      <c r="G72" s="16"/>
      <c r="H72" s="16"/>
      <c r="I72" s="1">
        <v>1</v>
      </c>
      <c r="J72" s="1">
        <v>1</v>
      </c>
    </row>
    <row r="73" spans="1:10" x14ac:dyDescent="0.35">
      <c r="A73" s="153">
        <v>1061939</v>
      </c>
      <c r="B73" s="15" t="s">
        <v>348</v>
      </c>
      <c r="C73" s="153">
        <v>1061939</v>
      </c>
      <c r="D73" s="15" t="s">
        <v>349</v>
      </c>
      <c r="E73" s="54">
        <v>3672000</v>
      </c>
      <c r="F73" s="16" t="s">
        <v>611</v>
      </c>
      <c r="G73" s="16"/>
      <c r="H73" s="16"/>
      <c r="I73" s="1">
        <v>1</v>
      </c>
      <c r="J73" s="1">
        <v>1</v>
      </c>
    </row>
    <row r="74" spans="1:10" x14ac:dyDescent="0.35">
      <c r="A74" s="153">
        <v>1062337</v>
      </c>
      <c r="B74" s="15" t="s">
        <v>350</v>
      </c>
      <c r="C74" s="153">
        <v>1062337</v>
      </c>
      <c r="D74" s="15" t="s">
        <v>351</v>
      </c>
      <c r="E74" s="54">
        <v>2244000</v>
      </c>
      <c r="F74" s="16" t="s">
        <v>611</v>
      </c>
      <c r="G74" s="16"/>
      <c r="H74" s="16"/>
      <c r="I74" s="1">
        <v>1</v>
      </c>
      <c r="J74" s="1">
        <v>1</v>
      </c>
    </row>
    <row r="75" spans="1:10" x14ac:dyDescent="0.35">
      <c r="A75" s="153">
        <v>1063580</v>
      </c>
      <c r="B75" s="15" t="s">
        <v>352</v>
      </c>
      <c r="C75" s="153">
        <v>1063580</v>
      </c>
      <c r="D75" s="15" t="s">
        <v>353</v>
      </c>
      <c r="E75" s="54">
        <v>4896000</v>
      </c>
      <c r="F75" s="16" t="s">
        <v>611</v>
      </c>
      <c r="G75" s="16"/>
      <c r="H75" s="16"/>
      <c r="I75" s="1">
        <v>1</v>
      </c>
      <c r="J75" s="1">
        <v>1</v>
      </c>
    </row>
    <row r="76" spans="1:10" x14ac:dyDescent="0.35">
      <c r="A76" s="153">
        <v>1063578</v>
      </c>
      <c r="B76" s="15" t="s">
        <v>354</v>
      </c>
      <c r="C76" s="153">
        <v>1063578</v>
      </c>
      <c r="D76" s="15" t="s">
        <v>355</v>
      </c>
      <c r="E76" s="54">
        <v>4896000</v>
      </c>
      <c r="F76" s="16" t="s">
        <v>611</v>
      </c>
      <c r="G76" s="16"/>
      <c r="H76" s="16"/>
      <c r="I76" s="1">
        <v>1</v>
      </c>
      <c r="J76" s="1">
        <v>1</v>
      </c>
    </row>
    <row r="77" spans="1:10" x14ac:dyDescent="0.35">
      <c r="A77" s="153">
        <v>1061938</v>
      </c>
      <c r="B77" s="15" t="s">
        <v>356</v>
      </c>
      <c r="C77" s="153">
        <v>1061938</v>
      </c>
      <c r="D77" s="15" t="s">
        <v>357</v>
      </c>
      <c r="E77" s="54">
        <v>4080000</v>
      </c>
      <c r="F77" s="16" t="s">
        <v>611</v>
      </c>
      <c r="G77" s="16"/>
      <c r="H77" s="16"/>
      <c r="I77" s="1">
        <v>1</v>
      </c>
      <c r="J77" s="1">
        <v>1</v>
      </c>
    </row>
    <row r="78" spans="1:10" x14ac:dyDescent="0.35">
      <c r="A78" s="153">
        <v>1063574</v>
      </c>
      <c r="B78" s="15" t="s">
        <v>358</v>
      </c>
      <c r="C78" s="153">
        <v>1063574</v>
      </c>
      <c r="D78" s="15" t="s">
        <v>359</v>
      </c>
      <c r="E78" s="54">
        <v>4080000</v>
      </c>
      <c r="F78" s="16" t="s">
        <v>611</v>
      </c>
      <c r="G78" s="16"/>
      <c r="H78" s="16"/>
      <c r="I78" s="1">
        <v>1</v>
      </c>
      <c r="J78" s="1">
        <v>1</v>
      </c>
    </row>
    <row r="79" spans="1:10" x14ac:dyDescent="0.35">
      <c r="A79" s="153">
        <v>1062356</v>
      </c>
      <c r="B79" s="15" t="s">
        <v>360</v>
      </c>
      <c r="C79" s="153">
        <v>1062356</v>
      </c>
      <c r="D79" s="15" t="s">
        <v>361</v>
      </c>
      <c r="E79" s="54">
        <v>4080000</v>
      </c>
      <c r="F79" s="16" t="s">
        <v>611</v>
      </c>
      <c r="G79" s="16"/>
      <c r="H79" s="16"/>
      <c r="I79" s="1">
        <v>1</v>
      </c>
      <c r="J79" s="1">
        <v>1</v>
      </c>
    </row>
    <row r="80" spans="1:10" x14ac:dyDescent="0.35">
      <c r="A80" s="153">
        <v>1093337</v>
      </c>
      <c r="B80" s="15" t="s">
        <v>362</v>
      </c>
      <c r="C80" s="153">
        <v>1093337</v>
      </c>
      <c r="D80" s="15" t="s">
        <v>363</v>
      </c>
      <c r="E80" s="54">
        <v>4896000</v>
      </c>
      <c r="F80" s="16" t="s">
        <v>611</v>
      </c>
      <c r="G80" s="16"/>
      <c r="H80" s="16"/>
      <c r="I80" s="1">
        <v>1</v>
      </c>
      <c r="J80" s="1">
        <v>1</v>
      </c>
    </row>
    <row r="81" spans="1:10" x14ac:dyDescent="0.35">
      <c r="A81" s="153">
        <v>1061937</v>
      </c>
      <c r="B81" s="15" t="s">
        <v>364</v>
      </c>
      <c r="C81" s="153">
        <v>1061937</v>
      </c>
      <c r="D81" s="15" t="s">
        <v>365</v>
      </c>
      <c r="E81" s="54">
        <v>4896000</v>
      </c>
      <c r="F81" s="16" t="s">
        <v>611</v>
      </c>
      <c r="G81" s="16"/>
      <c r="H81" s="16"/>
      <c r="I81" s="1">
        <v>1</v>
      </c>
      <c r="J81" s="1">
        <v>1</v>
      </c>
    </row>
    <row r="82" spans="1:10" x14ac:dyDescent="0.35">
      <c r="A82" s="153">
        <v>1063572</v>
      </c>
      <c r="B82" s="15" t="s">
        <v>366</v>
      </c>
      <c r="C82" s="153">
        <v>1063572</v>
      </c>
      <c r="D82" s="15" t="s">
        <v>367</v>
      </c>
      <c r="E82" s="54">
        <v>4080000</v>
      </c>
      <c r="F82" s="16" t="s">
        <v>611</v>
      </c>
      <c r="G82" s="16"/>
      <c r="H82" s="16"/>
      <c r="I82" s="1">
        <v>1</v>
      </c>
      <c r="J82" s="1">
        <v>1</v>
      </c>
    </row>
    <row r="83" spans="1:10" x14ac:dyDescent="0.35">
      <c r="A83" s="153">
        <v>1061908</v>
      </c>
      <c r="B83" s="15" t="s">
        <v>368</v>
      </c>
      <c r="C83" s="153">
        <v>1061908</v>
      </c>
      <c r="D83" s="15" t="s">
        <v>369</v>
      </c>
      <c r="E83" s="54">
        <v>4488000</v>
      </c>
      <c r="F83" s="16" t="s">
        <v>611</v>
      </c>
      <c r="G83" s="16"/>
      <c r="H83" s="16"/>
      <c r="I83" s="1">
        <v>1</v>
      </c>
      <c r="J83" s="1">
        <v>1</v>
      </c>
    </row>
    <row r="84" spans="1:10" x14ac:dyDescent="0.35">
      <c r="A84" s="153">
        <v>1061936</v>
      </c>
      <c r="B84" s="15" t="s">
        <v>370</v>
      </c>
      <c r="C84" s="153">
        <v>1061936</v>
      </c>
      <c r="D84" s="15" t="s">
        <v>371</v>
      </c>
      <c r="E84" s="54">
        <v>4284000</v>
      </c>
      <c r="F84" s="16" t="s">
        <v>611</v>
      </c>
      <c r="G84" s="16"/>
      <c r="H84" s="16"/>
      <c r="I84" s="1">
        <v>1</v>
      </c>
      <c r="J84" s="1">
        <v>1</v>
      </c>
    </row>
    <row r="85" spans="1:10" x14ac:dyDescent="0.35">
      <c r="A85" s="153">
        <v>1062086</v>
      </c>
      <c r="B85" s="15" t="s">
        <v>372</v>
      </c>
      <c r="C85" s="153">
        <v>1062086</v>
      </c>
      <c r="D85" s="15" t="s">
        <v>373</v>
      </c>
      <c r="E85" s="54">
        <v>4488000</v>
      </c>
      <c r="F85" s="16" t="s">
        <v>611</v>
      </c>
      <c r="G85" s="16"/>
      <c r="H85" s="16"/>
      <c r="I85" s="1">
        <v>1</v>
      </c>
      <c r="J85" s="1">
        <v>1</v>
      </c>
    </row>
    <row r="86" spans="1:10" x14ac:dyDescent="0.35">
      <c r="A86" s="153">
        <v>1062983</v>
      </c>
      <c r="B86" s="15" t="s">
        <v>374</v>
      </c>
      <c r="C86" s="153">
        <v>1062983</v>
      </c>
      <c r="D86" s="15" t="s">
        <v>375</v>
      </c>
      <c r="E86" s="54">
        <v>4488000</v>
      </c>
      <c r="F86" s="16" t="s">
        <v>611</v>
      </c>
      <c r="G86" s="16"/>
      <c r="H86" s="16"/>
      <c r="I86" s="1">
        <v>1</v>
      </c>
      <c r="J86" s="1">
        <v>1</v>
      </c>
    </row>
    <row r="87" spans="1:10" x14ac:dyDescent="0.35">
      <c r="A87" s="153">
        <v>1063027</v>
      </c>
      <c r="B87" s="15" t="s">
        <v>376</v>
      </c>
      <c r="C87" s="153">
        <v>1063027</v>
      </c>
      <c r="D87" s="15" t="s">
        <v>377</v>
      </c>
      <c r="E87" s="54">
        <v>4284000</v>
      </c>
      <c r="F87" s="16" t="s">
        <v>611</v>
      </c>
      <c r="G87" s="16"/>
      <c r="H87" s="16"/>
      <c r="I87" s="1">
        <v>1</v>
      </c>
      <c r="J87" s="1">
        <v>1</v>
      </c>
    </row>
    <row r="88" spans="1:10" x14ac:dyDescent="0.35">
      <c r="A88" s="153">
        <v>1062990</v>
      </c>
      <c r="B88" s="15" t="s">
        <v>378</v>
      </c>
      <c r="C88" s="153">
        <v>1062990</v>
      </c>
      <c r="D88" s="15" t="s">
        <v>379</v>
      </c>
      <c r="E88" s="54">
        <v>4284000</v>
      </c>
      <c r="F88" s="16" t="s">
        <v>611</v>
      </c>
      <c r="G88" s="16"/>
      <c r="H88" s="16"/>
      <c r="I88" s="1">
        <v>1</v>
      </c>
      <c r="J88" s="1">
        <v>1</v>
      </c>
    </row>
    <row r="89" spans="1:10" x14ac:dyDescent="0.35">
      <c r="A89" s="153">
        <v>1063378</v>
      </c>
      <c r="B89" s="15" t="s">
        <v>380</v>
      </c>
      <c r="C89" s="153">
        <v>1063378</v>
      </c>
      <c r="D89" s="15" t="s">
        <v>381</v>
      </c>
      <c r="E89" s="54">
        <v>4284000</v>
      </c>
      <c r="F89" s="16" t="s">
        <v>611</v>
      </c>
      <c r="G89" s="16"/>
      <c r="H89" s="16"/>
      <c r="I89" s="1">
        <v>1</v>
      </c>
      <c r="J89" s="1">
        <v>1</v>
      </c>
    </row>
    <row r="90" spans="1:10" x14ac:dyDescent="0.35">
      <c r="A90" s="153">
        <v>1061916</v>
      </c>
      <c r="B90" s="15" t="s">
        <v>382</v>
      </c>
      <c r="C90" s="153">
        <v>1061916</v>
      </c>
      <c r="D90" s="15" t="s">
        <v>383</v>
      </c>
      <c r="E90" s="54">
        <v>4080000</v>
      </c>
      <c r="F90" s="16" t="s">
        <v>611</v>
      </c>
      <c r="G90" s="16"/>
      <c r="H90" s="16"/>
      <c r="I90" s="1">
        <v>1</v>
      </c>
      <c r="J90" s="1">
        <v>1</v>
      </c>
    </row>
    <row r="91" spans="1:10" x14ac:dyDescent="0.35">
      <c r="A91" s="153">
        <v>1063034</v>
      </c>
      <c r="B91" s="15" t="s">
        <v>384</v>
      </c>
      <c r="C91" s="153">
        <v>1063034</v>
      </c>
      <c r="D91" s="15" t="s">
        <v>385</v>
      </c>
      <c r="E91" s="54">
        <v>4488000</v>
      </c>
      <c r="F91" s="16" t="s">
        <v>611</v>
      </c>
      <c r="G91" s="16"/>
      <c r="H91" s="16"/>
      <c r="I91" s="1">
        <v>1</v>
      </c>
      <c r="J91" s="1">
        <v>1</v>
      </c>
    </row>
    <row r="92" spans="1:10" x14ac:dyDescent="0.35">
      <c r="A92" s="153">
        <v>1063570</v>
      </c>
      <c r="B92" s="15" t="s">
        <v>386</v>
      </c>
      <c r="C92" s="153">
        <v>1063570</v>
      </c>
      <c r="D92" s="15" t="s">
        <v>387</v>
      </c>
      <c r="E92" s="54">
        <v>4488000</v>
      </c>
      <c r="F92" s="16" t="s">
        <v>611</v>
      </c>
      <c r="G92" s="16"/>
      <c r="H92" s="16"/>
      <c r="I92" s="1">
        <v>1</v>
      </c>
      <c r="J92" s="1">
        <v>1</v>
      </c>
    </row>
    <row r="93" spans="1:10" x14ac:dyDescent="0.35">
      <c r="A93" s="153">
        <v>1063569</v>
      </c>
      <c r="B93" s="15" t="s">
        <v>388</v>
      </c>
      <c r="C93" s="153">
        <v>1063569</v>
      </c>
      <c r="D93" s="15" t="s">
        <v>389</v>
      </c>
      <c r="E93" s="54">
        <v>4488000</v>
      </c>
      <c r="F93" s="16" t="s">
        <v>611</v>
      </c>
      <c r="G93" s="16"/>
      <c r="H93" s="16"/>
      <c r="I93" s="1">
        <v>1</v>
      </c>
      <c r="J93" s="1">
        <v>1</v>
      </c>
    </row>
    <row r="94" spans="1:10" x14ac:dyDescent="0.35">
      <c r="A94" s="153">
        <v>1063526</v>
      </c>
      <c r="B94" s="15" t="s">
        <v>390</v>
      </c>
      <c r="C94" s="153">
        <v>1063526</v>
      </c>
      <c r="D94" s="15" t="s">
        <v>391</v>
      </c>
      <c r="E94" s="54">
        <v>4488000</v>
      </c>
      <c r="F94" s="16" t="s">
        <v>611</v>
      </c>
      <c r="G94" s="16"/>
      <c r="H94" s="16"/>
      <c r="I94" s="1">
        <v>1</v>
      </c>
      <c r="J94" s="1">
        <v>1</v>
      </c>
    </row>
    <row r="95" spans="1:10" x14ac:dyDescent="0.35">
      <c r="A95" s="153">
        <v>1061915</v>
      </c>
      <c r="B95" s="15" t="s">
        <v>392</v>
      </c>
      <c r="C95" s="153">
        <v>1061915</v>
      </c>
      <c r="D95" s="15" t="s">
        <v>393</v>
      </c>
      <c r="E95" s="54">
        <v>4284000</v>
      </c>
      <c r="F95" s="16" t="s">
        <v>611</v>
      </c>
      <c r="G95" s="16"/>
      <c r="H95" s="16"/>
      <c r="I95" s="1">
        <v>1</v>
      </c>
      <c r="J95" s="1">
        <v>1</v>
      </c>
    </row>
    <row r="96" spans="1:10" x14ac:dyDescent="0.35">
      <c r="A96" s="153">
        <v>1063567</v>
      </c>
      <c r="B96" s="15" t="s">
        <v>394</v>
      </c>
      <c r="C96" s="153">
        <v>1063567</v>
      </c>
      <c r="D96" s="15" t="s">
        <v>395</v>
      </c>
      <c r="E96" s="54">
        <v>4284000</v>
      </c>
      <c r="F96" s="16" t="s">
        <v>611</v>
      </c>
      <c r="G96" s="16"/>
      <c r="H96" s="16"/>
      <c r="I96" s="1">
        <v>1</v>
      </c>
      <c r="J96" s="1">
        <v>1</v>
      </c>
    </row>
    <row r="97" spans="1:10" x14ac:dyDescent="0.35">
      <c r="A97" s="153">
        <v>1063525</v>
      </c>
      <c r="B97" s="15" t="s">
        <v>396</v>
      </c>
      <c r="C97" s="153">
        <v>1063525</v>
      </c>
      <c r="D97" s="15" t="s">
        <v>397</v>
      </c>
      <c r="E97" s="54">
        <v>4080000</v>
      </c>
      <c r="F97" s="16" t="s">
        <v>611</v>
      </c>
      <c r="G97" s="16"/>
      <c r="H97" s="16"/>
      <c r="I97" s="1">
        <v>1</v>
      </c>
      <c r="J97" s="1">
        <v>1</v>
      </c>
    </row>
    <row r="98" spans="1:10" x14ac:dyDescent="0.35">
      <c r="A98" s="153">
        <v>1063552</v>
      </c>
      <c r="B98" s="15" t="s">
        <v>398</v>
      </c>
      <c r="C98" s="153">
        <v>1063552</v>
      </c>
      <c r="D98" s="15" t="s">
        <v>399</v>
      </c>
      <c r="E98" s="54">
        <v>4896000</v>
      </c>
      <c r="F98" s="16" t="s">
        <v>611</v>
      </c>
      <c r="G98" s="16"/>
      <c r="H98" s="16"/>
      <c r="I98" s="1">
        <v>1</v>
      </c>
      <c r="J98" s="1">
        <v>1</v>
      </c>
    </row>
    <row r="99" spans="1:10" x14ac:dyDescent="0.35">
      <c r="A99" s="153">
        <v>1063033</v>
      </c>
      <c r="B99" s="15" t="s">
        <v>400</v>
      </c>
      <c r="C99" s="153">
        <v>1063033</v>
      </c>
      <c r="D99" s="15" t="s">
        <v>401</v>
      </c>
      <c r="E99" s="54">
        <v>4896000</v>
      </c>
      <c r="F99" s="16" t="s">
        <v>611</v>
      </c>
      <c r="G99" s="16"/>
      <c r="H99" s="16"/>
      <c r="I99" s="1">
        <v>1</v>
      </c>
      <c r="J99" s="1">
        <v>1</v>
      </c>
    </row>
    <row r="100" spans="1:10" x14ac:dyDescent="0.35">
      <c r="A100" s="153">
        <v>1061949</v>
      </c>
      <c r="B100" s="15" t="s">
        <v>402</v>
      </c>
      <c r="C100" s="153">
        <v>1061949</v>
      </c>
      <c r="D100" s="15" t="s">
        <v>403</v>
      </c>
      <c r="E100" s="54">
        <v>3264000</v>
      </c>
      <c r="F100" s="16" t="s">
        <v>611</v>
      </c>
      <c r="G100" s="16"/>
      <c r="H100" s="16"/>
      <c r="I100" s="1">
        <v>1</v>
      </c>
      <c r="J100" s="1">
        <v>1</v>
      </c>
    </row>
    <row r="101" spans="1:10" x14ac:dyDescent="0.35">
      <c r="A101" s="153">
        <v>1061935</v>
      </c>
      <c r="B101" s="15" t="s">
        <v>404</v>
      </c>
      <c r="C101" s="153">
        <v>1061935</v>
      </c>
      <c r="D101" s="15" t="s">
        <v>405</v>
      </c>
      <c r="E101" s="54">
        <v>4284000</v>
      </c>
      <c r="F101" s="16" t="s">
        <v>611</v>
      </c>
      <c r="G101" s="16"/>
      <c r="H101" s="16"/>
      <c r="I101" s="1">
        <v>1</v>
      </c>
      <c r="J101" s="1">
        <v>1</v>
      </c>
    </row>
    <row r="102" spans="1:10" x14ac:dyDescent="0.35">
      <c r="A102" s="153">
        <v>1062984</v>
      </c>
      <c r="B102" s="15" t="s">
        <v>406</v>
      </c>
      <c r="C102" s="153">
        <v>1062984</v>
      </c>
      <c r="D102" s="15" t="s">
        <v>407</v>
      </c>
      <c r="E102" s="54">
        <v>4284000</v>
      </c>
      <c r="F102" s="16" t="s">
        <v>611</v>
      </c>
      <c r="G102" s="16"/>
      <c r="H102" s="16"/>
      <c r="I102" s="1">
        <v>1</v>
      </c>
      <c r="J102" s="1">
        <v>1</v>
      </c>
    </row>
    <row r="103" spans="1:10" x14ac:dyDescent="0.35">
      <c r="A103" s="153">
        <v>1061919</v>
      </c>
      <c r="B103" s="15" t="s">
        <v>408</v>
      </c>
      <c r="C103" s="153">
        <v>1061919</v>
      </c>
      <c r="D103" s="15" t="s">
        <v>409</v>
      </c>
      <c r="E103" s="54">
        <v>3468000</v>
      </c>
      <c r="F103" s="16" t="s">
        <v>611</v>
      </c>
      <c r="G103" s="16"/>
      <c r="H103" s="16"/>
      <c r="I103" s="1">
        <v>1</v>
      </c>
      <c r="J103" s="1">
        <v>1</v>
      </c>
    </row>
    <row r="104" spans="1:10" x14ac:dyDescent="0.35">
      <c r="A104" s="153">
        <v>1078683</v>
      </c>
      <c r="B104" s="15" t="s">
        <v>410</v>
      </c>
      <c r="C104" s="153">
        <v>1078683</v>
      </c>
      <c r="D104" s="15" t="s">
        <v>411</v>
      </c>
      <c r="E104" s="54">
        <v>4080000</v>
      </c>
      <c r="F104" s="16" t="s">
        <v>611</v>
      </c>
      <c r="G104" s="16"/>
      <c r="H104" s="16"/>
      <c r="I104" s="1">
        <v>1</v>
      </c>
      <c r="J104" s="1">
        <v>1</v>
      </c>
    </row>
    <row r="105" spans="1:10" x14ac:dyDescent="0.35">
      <c r="A105" s="153">
        <v>1061914</v>
      </c>
      <c r="B105" s="15" t="s">
        <v>412</v>
      </c>
      <c r="C105" s="153">
        <v>1061914</v>
      </c>
      <c r="D105" s="15" t="s">
        <v>413</v>
      </c>
      <c r="E105" s="54">
        <v>4284000</v>
      </c>
      <c r="F105" s="16" t="s">
        <v>611</v>
      </c>
      <c r="G105" s="16"/>
      <c r="H105" s="16"/>
      <c r="I105" s="1">
        <v>1</v>
      </c>
      <c r="J105" s="1">
        <v>1</v>
      </c>
    </row>
    <row r="106" spans="1:10" x14ac:dyDescent="0.35">
      <c r="A106" s="153">
        <v>1061934</v>
      </c>
      <c r="B106" s="15" t="s">
        <v>414</v>
      </c>
      <c r="C106" s="153">
        <v>1061934</v>
      </c>
      <c r="D106" s="15" t="s">
        <v>415</v>
      </c>
      <c r="E106" s="54">
        <v>4284000</v>
      </c>
      <c r="F106" s="16" t="s">
        <v>611</v>
      </c>
      <c r="G106" s="16"/>
      <c r="H106" s="16"/>
      <c r="I106" s="1">
        <v>1</v>
      </c>
      <c r="J106" s="1">
        <v>1</v>
      </c>
    </row>
    <row r="107" spans="1:10" x14ac:dyDescent="0.35">
      <c r="A107" s="153">
        <v>1063012</v>
      </c>
      <c r="B107" s="15" t="s">
        <v>416</v>
      </c>
      <c r="C107" s="153">
        <v>1063012</v>
      </c>
      <c r="D107" s="15" t="s">
        <v>417</v>
      </c>
      <c r="E107" s="54">
        <v>4080000</v>
      </c>
      <c r="F107" s="16" t="s">
        <v>611</v>
      </c>
      <c r="G107" s="16"/>
      <c r="H107" s="16"/>
      <c r="I107" s="1">
        <v>1</v>
      </c>
      <c r="J107" s="1">
        <v>1</v>
      </c>
    </row>
    <row r="108" spans="1:10" x14ac:dyDescent="0.35">
      <c r="A108" s="153">
        <v>1063551</v>
      </c>
      <c r="B108" s="15" t="s">
        <v>418</v>
      </c>
      <c r="C108" s="153">
        <v>1063551</v>
      </c>
      <c r="D108" s="15" t="s">
        <v>419</v>
      </c>
      <c r="E108" s="54">
        <v>4896000</v>
      </c>
      <c r="F108" s="16" t="s">
        <v>611</v>
      </c>
      <c r="G108" s="16"/>
      <c r="H108" s="16"/>
      <c r="I108" s="1">
        <v>1</v>
      </c>
      <c r="J108" s="1">
        <v>1</v>
      </c>
    </row>
    <row r="109" spans="1:10" x14ac:dyDescent="0.35">
      <c r="A109" s="153">
        <v>1061943</v>
      </c>
      <c r="B109" s="15" t="s">
        <v>420</v>
      </c>
      <c r="C109" s="153">
        <v>1061943</v>
      </c>
      <c r="D109" s="15" t="s">
        <v>421</v>
      </c>
      <c r="E109" s="54">
        <v>4080000</v>
      </c>
      <c r="F109" s="16" t="s">
        <v>611</v>
      </c>
      <c r="G109" s="16"/>
      <c r="H109" s="16"/>
      <c r="I109" s="1">
        <v>1</v>
      </c>
      <c r="J109" s="1">
        <v>1</v>
      </c>
    </row>
    <row r="110" spans="1:10" x14ac:dyDescent="0.35">
      <c r="A110" s="153">
        <v>1063524</v>
      </c>
      <c r="B110" s="15" t="s">
        <v>422</v>
      </c>
      <c r="C110" s="153">
        <v>1063524</v>
      </c>
      <c r="D110" s="15" t="s">
        <v>423</v>
      </c>
      <c r="E110" s="54">
        <v>4080000</v>
      </c>
      <c r="F110" s="16" t="s">
        <v>611</v>
      </c>
      <c r="G110" s="16"/>
      <c r="H110" s="16"/>
      <c r="I110" s="1">
        <v>1</v>
      </c>
      <c r="J110" s="1">
        <v>1</v>
      </c>
    </row>
    <row r="111" spans="1:10" x14ac:dyDescent="0.35">
      <c r="A111" s="153">
        <v>1061913</v>
      </c>
      <c r="B111" s="15" t="s">
        <v>424</v>
      </c>
      <c r="C111" s="153">
        <v>1061913</v>
      </c>
      <c r="D111" s="15" t="s">
        <v>425</v>
      </c>
      <c r="E111" s="54">
        <v>3876000</v>
      </c>
      <c r="F111" s="16" t="s">
        <v>611</v>
      </c>
      <c r="G111" s="16"/>
      <c r="H111" s="16"/>
      <c r="I111" s="1">
        <v>1</v>
      </c>
      <c r="J111" s="1">
        <v>1</v>
      </c>
    </row>
    <row r="112" spans="1:10" x14ac:dyDescent="0.35">
      <c r="A112" s="153">
        <v>1061918</v>
      </c>
      <c r="B112" s="15" t="s">
        <v>426</v>
      </c>
      <c r="C112" s="153">
        <v>1061918</v>
      </c>
      <c r="D112" s="15" t="s">
        <v>427</v>
      </c>
      <c r="E112" s="54">
        <v>3876000</v>
      </c>
      <c r="F112" s="16" t="s">
        <v>611</v>
      </c>
      <c r="G112" s="16"/>
      <c r="H112" s="16"/>
      <c r="I112" s="1">
        <v>1</v>
      </c>
      <c r="J112" s="1">
        <v>1</v>
      </c>
    </row>
    <row r="113" spans="1:10" x14ac:dyDescent="0.35">
      <c r="A113" s="153">
        <v>1061924</v>
      </c>
      <c r="B113" s="15" t="s">
        <v>428</v>
      </c>
      <c r="C113" s="153">
        <v>1061924</v>
      </c>
      <c r="D113" s="15" t="s">
        <v>429</v>
      </c>
      <c r="E113" s="54">
        <v>3672000</v>
      </c>
      <c r="F113" s="16" t="s">
        <v>611</v>
      </c>
      <c r="G113" s="16"/>
      <c r="H113" s="16"/>
      <c r="I113" s="1">
        <v>1</v>
      </c>
      <c r="J113" s="1">
        <v>1</v>
      </c>
    </row>
    <row r="114" spans="1:10" x14ac:dyDescent="0.35">
      <c r="A114" s="153">
        <v>1062989</v>
      </c>
      <c r="B114" s="15" t="s">
        <v>430</v>
      </c>
      <c r="C114" s="153">
        <v>1062989</v>
      </c>
      <c r="D114" s="15" t="s">
        <v>431</v>
      </c>
      <c r="E114" s="54">
        <v>3468000</v>
      </c>
      <c r="F114" s="16" t="s">
        <v>611</v>
      </c>
      <c r="G114" s="16"/>
      <c r="H114" s="16"/>
      <c r="I114" s="1">
        <v>1</v>
      </c>
      <c r="J114" s="1">
        <v>1</v>
      </c>
    </row>
    <row r="115" spans="1:10" x14ac:dyDescent="0.35">
      <c r="A115" s="153">
        <v>1061917</v>
      </c>
      <c r="B115" s="15" t="s">
        <v>432</v>
      </c>
      <c r="C115" s="153">
        <v>1061917</v>
      </c>
      <c r="D115" s="15" t="s">
        <v>433</v>
      </c>
      <c r="E115" s="54">
        <v>3264000</v>
      </c>
      <c r="F115" s="16" t="s">
        <v>611</v>
      </c>
      <c r="G115" s="16"/>
      <c r="H115" s="16"/>
      <c r="I115" s="1">
        <v>1</v>
      </c>
      <c r="J115" s="1">
        <v>1</v>
      </c>
    </row>
    <row r="116" spans="1:10" x14ac:dyDescent="0.35">
      <c r="A116" s="153">
        <v>1063032</v>
      </c>
      <c r="B116" s="15" t="s">
        <v>434</v>
      </c>
      <c r="C116" s="153">
        <v>1063032</v>
      </c>
      <c r="D116" s="15" t="s">
        <v>435</v>
      </c>
      <c r="E116" s="54">
        <v>3468000</v>
      </c>
      <c r="F116" s="16" t="s">
        <v>611</v>
      </c>
      <c r="G116" s="16"/>
      <c r="H116" s="16"/>
      <c r="I116" s="1">
        <v>1</v>
      </c>
      <c r="J116" s="1">
        <v>1</v>
      </c>
    </row>
    <row r="117" spans="1:10" x14ac:dyDescent="0.35">
      <c r="A117" s="153">
        <v>1063008</v>
      </c>
      <c r="B117" s="15" t="s">
        <v>436</v>
      </c>
      <c r="C117" s="153">
        <v>1063008</v>
      </c>
      <c r="D117" s="15" t="s">
        <v>437</v>
      </c>
      <c r="E117" s="54">
        <v>3264000</v>
      </c>
      <c r="F117" s="16" t="s">
        <v>611</v>
      </c>
      <c r="G117" s="16"/>
      <c r="H117" s="16"/>
      <c r="I117" s="1">
        <v>1</v>
      </c>
      <c r="J117" s="1">
        <v>1</v>
      </c>
    </row>
    <row r="118" spans="1:10" x14ac:dyDescent="0.35">
      <c r="A118" s="153">
        <v>1063024</v>
      </c>
      <c r="B118" s="15" t="s">
        <v>438</v>
      </c>
      <c r="C118" s="153">
        <v>1063024</v>
      </c>
      <c r="D118" s="15" t="s">
        <v>439</v>
      </c>
      <c r="E118" s="54">
        <v>3264000</v>
      </c>
      <c r="F118" s="16" t="s">
        <v>611</v>
      </c>
      <c r="G118" s="16"/>
      <c r="H118" s="16"/>
      <c r="I118" s="1">
        <v>1</v>
      </c>
      <c r="J118" s="1">
        <v>1</v>
      </c>
    </row>
    <row r="119" spans="1:10" x14ac:dyDescent="0.35">
      <c r="A119" s="153">
        <v>1063006</v>
      </c>
      <c r="B119" s="15" t="s">
        <v>440</v>
      </c>
      <c r="C119" s="153">
        <v>1063006</v>
      </c>
      <c r="D119" s="15" t="s">
        <v>441</v>
      </c>
      <c r="E119" s="54">
        <v>3468000</v>
      </c>
      <c r="F119" s="16" t="s">
        <v>611</v>
      </c>
      <c r="G119" s="16"/>
      <c r="H119" s="16"/>
      <c r="I119" s="1">
        <v>1</v>
      </c>
      <c r="J119" s="1">
        <v>1</v>
      </c>
    </row>
    <row r="120" spans="1:10" x14ac:dyDescent="0.35">
      <c r="A120" s="153">
        <v>1061948</v>
      </c>
      <c r="B120" s="15" t="s">
        <v>442</v>
      </c>
      <c r="C120" s="153">
        <v>1061948</v>
      </c>
      <c r="D120" s="15" t="s">
        <v>443</v>
      </c>
      <c r="E120" s="54">
        <v>3468000</v>
      </c>
      <c r="F120" s="16" t="s">
        <v>611</v>
      </c>
      <c r="G120" s="16"/>
      <c r="H120" s="16"/>
      <c r="I120" s="1">
        <v>1</v>
      </c>
      <c r="J120" s="1">
        <v>1</v>
      </c>
    </row>
    <row r="121" spans="1:10" x14ac:dyDescent="0.35">
      <c r="A121" s="153">
        <v>1061923</v>
      </c>
      <c r="B121" s="15" t="s">
        <v>444</v>
      </c>
      <c r="C121" s="153">
        <v>1061923</v>
      </c>
      <c r="D121" s="15" t="s">
        <v>445</v>
      </c>
      <c r="E121" s="54">
        <v>3672000</v>
      </c>
      <c r="F121" s="16" t="s">
        <v>611</v>
      </c>
      <c r="G121" s="16"/>
      <c r="H121" s="16"/>
      <c r="I121" s="1">
        <v>1</v>
      </c>
      <c r="J121" s="1">
        <v>1</v>
      </c>
    </row>
    <row r="122" spans="1:10" x14ac:dyDescent="0.35">
      <c r="A122" s="153">
        <v>1063023</v>
      </c>
      <c r="B122" s="15" t="s">
        <v>446</v>
      </c>
      <c r="C122" s="153">
        <v>1063023</v>
      </c>
      <c r="D122" s="15" t="s">
        <v>447</v>
      </c>
      <c r="E122" s="54">
        <v>3672000</v>
      </c>
      <c r="F122" s="16" t="s">
        <v>611</v>
      </c>
      <c r="G122" s="16"/>
      <c r="H122" s="16"/>
      <c r="I122" s="1">
        <v>1</v>
      </c>
      <c r="J122" s="1">
        <v>1</v>
      </c>
    </row>
    <row r="123" spans="1:10" x14ac:dyDescent="0.35">
      <c r="A123" s="153">
        <v>1062988</v>
      </c>
      <c r="B123" s="15" t="s">
        <v>448</v>
      </c>
      <c r="C123" s="153">
        <v>1062988</v>
      </c>
      <c r="D123" s="15" t="s">
        <v>449</v>
      </c>
      <c r="E123" s="54">
        <v>3876000</v>
      </c>
      <c r="F123" s="16" t="s">
        <v>611</v>
      </c>
      <c r="G123" s="16"/>
      <c r="H123" s="16"/>
      <c r="I123" s="1">
        <v>1</v>
      </c>
      <c r="J123" s="1">
        <v>1</v>
      </c>
    </row>
    <row r="124" spans="1:10" x14ac:dyDescent="0.35">
      <c r="A124" s="153">
        <v>1063119</v>
      </c>
      <c r="B124" s="15" t="s">
        <v>450</v>
      </c>
      <c r="C124" s="153">
        <v>1063119</v>
      </c>
      <c r="D124" s="15" t="s">
        <v>451</v>
      </c>
      <c r="E124" s="54">
        <v>3876000</v>
      </c>
      <c r="F124" s="16" t="s">
        <v>611</v>
      </c>
      <c r="G124" s="16"/>
      <c r="H124" s="16"/>
      <c r="I124" s="1">
        <v>1</v>
      </c>
      <c r="J124" s="1">
        <v>1</v>
      </c>
    </row>
    <row r="125" spans="1:10" x14ac:dyDescent="0.35">
      <c r="A125" s="153">
        <v>1062996</v>
      </c>
      <c r="B125" s="15" t="s">
        <v>452</v>
      </c>
      <c r="C125" s="153">
        <v>1062996</v>
      </c>
      <c r="D125" s="15" t="s">
        <v>453</v>
      </c>
      <c r="E125" s="54">
        <v>4080000</v>
      </c>
      <c r="F125" s="16" t="s">
        <v>611</v>
      </c>
      <c r="G125" s="16"/>
      <c r="H125" s="16"/>
      <c r="I125" s="1">
        <v>1</v>
      </c>
      <c r="J125" s="1">
        <v>1</v>
      </c>
    </row>
    <row r="126" spans="1:10" x14ac:dyDescent="0.35">
      <c r="A126" s="153">
        <v>1078682</v>
      </c>
      <c r="B126" s="15" t="s">
        <v>454</v>
      </c>
      <c r="C126" s="153">
        <v>1078682</v>
      </c>
      <c r="D126" s="15" t="s">
        <v>455</v>
      </c>
      <c r="E126" s="54">
        <v>4284000</v>
      </c>
      <c r="F126" s="16" t="s">
        <v>611</v>
      </c>
      <c r="G126" s="16"/>
      <c r="H126" s="16"/>
      <c r="I126" s="1">
        <v>1</v>
      </c>
      <c r="J126" s="1">
        <v>1</v>
      </c>
    </row>
    <row r="127" spans="1:10" x14ac:dyDescent="0.35">
      <c r="A127" s="153">
        <v>1063005</v>
      </c>
      <c r="B127" s="15" t="s">
        <v>456</v>
      </c>
      <c r="C127" s="153">
        <v>1063005</v>
      </c>
      <c r="D127" s="15" t="s">
        <v>457</v>
      </c>
      <c r="E127" s="54">
        <v>4080000</v>
      </c>
      <c r="F127" s="16" t="s">
        <v>611</v>
      </c>
      <c r="G127" s="16"/>
      <c r="H127" s="16"/>
      <c r="I127" s="1">
        <v>1</v>
      </c>
      <c r="J127" s="1">
        <v>1</v>
      </c>
    </row>
    <row r="128" spans="1:10" x14ac:dyDescent="0.35">
      <c r="A128" s="153">
        <v>1061922</v>
      </c>
      <c r="B128" s="15" t="s">
        <v>458</v>
      </c>
      <c r="C128" s="153">
        <v>1061922</v>
      </c>
      <c r="D128" s="15" t="s">
        <v>459</v>
      </c>
      <c r="E128" s="54">
        <v>4080000</v>
      </c>
      <c r="F128" s="16" t="s">
        <v>611</v>
      </c>
      <c r="G128" s="16"/>
      <c r="H128" s="16"/>
      <c r="I128" s="1">
        <v>1</v>
      </c>
      <c r="J128" s="1">
        <v>1</v>
      </c>
    </row>
    <row r="129" spans="1:10" x14ac:dyDescent="0.35">
      <c r="A129" s="153">
        <v>1062987</v>
      </c>
      <c r="B129" s="15" t="s">
        <v>460</v>
      </c>
      <c r="C129" s="153">
        <v>1062987</v>
      </c>
      <c r="D129" s="15" t="s">
        <v>461</v>
      </c>
      <c r="E129" s="54">
        <v>4284000</v>
      </c>
      <c r="F129" s="16" t="s">
        <v>611</v>
      </c>
      <c r="G129" s="16"/>
      <c r="H129" s="16"/>
      <c r="I129" s="1">
        <v>1</v>
      </c>
      <c r="J129" s="1">
        <v>1</v>
      </c>
    </row>
    <row r="130" spans="1:10" x14ac:dyDescent="0.35">
      <c r="A130" s="153">
        <v>1062995</v>
      </c>
      <c r="B130" s="15" t="s">
        <v>462</v>
      </c>
      <c r="C130" s="153">
        <v>1062995</v>
      </c>
      <c r="D130" s="15" t="s">
        <v>463</v>
      </c>
      <c r="E130" s="54">
        <v>4080000</v>
      </c>
      <c r="F130" s="16" t="s">
        <v>611</v>
      </c>
      <c r="G130" s="16"/>
      <c r="H130" s="16"/>
      <c r="I130" s="1">
        <v>1</v>
      </c>
      <c r="J130" s="1">
        <v>1</v>
      </c>
    </row>
    <row r="131" spans="1:10" x14ac:dyDescent="0.35">
      <c r="A131" s="153">
        <v>1063037</v>
      </c>
      <c r="B131" s="15" t="s">
        <v>464</v>
      </c>
      <c r="C131" s="153">
        <v>1063037</v>
      </c>
      <c r="D131" s="15" t="s">
        <v>465</v>
      </c>
      <c r="E131" s="54">
        <v>4080000</v>
      </c>
      <c r="F131" s="16" t="s">
        <v>611</v>
      </c>
      <c r="G131" s="16"/>
      <c r="H131" s="16"/>
      <c r="I131" s="1">
        <v>1</v>
      </c>
      <c r="J131" s="1">
        <v>1</v>
      </c>
    </row>
    <row r="132" spans="1:10" x14ac:dyDescent="0.35">
      <c r="A132" s="153">
        <v>1063022</v>
      </c>
      <c r="B132" s="15" t="s">
        <v>466</v>
      </c>
      <c r="C132" s="153">
        <v>1063022</v>
      </c>
      <c r="D132" s="15" t="s">
        <v>467</v>
      </c>
      <c r="E132" s="54">
        <v>4080000</v>
      </c>
      <c r="F132" s="16" t="s">
        <v>611</v>
      </c>
      <c r="G132" s="16"/>
      <c r="H132" s="16"/>
      <c r="I132" s="1">
        <v>1</v>
      </c>
      <c r="J132" s="1">
        <v>1</v>
      </c>
    </row>
    <row r="133" spans="1:10" x14ac:dyDescent="0.35">
      <c r="A133" s="153">
        <v>1062994</v>
      </c>
      <c r="B133" s="15" t="s">
        <v>468</v>
      </c>
      <c r="C133" s="153">
        <v>1062994</v>
      </c>
      <c r="D133" s="15" t="s">
        <v>469</v>
      </c>
      <c r="E133" s="54">
        <v>4080000</v>
      </c>
      <c r="F133" s="16" t="s">
        <v>611</v>
      </c>
      <c r="G133" s="16"/>
      <c r="H133" s="16"/>
      <c r="I133" s="1">
        <v>1</v>
      </c>
      <c r="J133" s="1">
        <v>1</v>
      </c>
    </row>
    <row r="134" spans="1:10" x14ac:dyDescent="0.35">
      <c r="A134" s="153">
        <v>1061921</v>
      </c>
      <c r="B134" s="15" t="s">
        <v>470</v>
      </c>
      <c r="C134" s="153">
        <v>1061921</v>
      </c>
      <c r="D134" s="15" t="s">
        <v>471</v>
      </c>
      <c r="E134" s="54">
        <v>4080000</v>
      </c>
      <c r="F134" s="16" t="s">
        <v>611</v>
      </c>
      <c r="G134" s="16"/>
      <c r="H134" s="16"/>
      <c r="I134" s="1">
        <v>1</v>
      </c>
      <c r="J134" s="1">
        <v>1</v>
      </c>
    </row>
    <row r="135" spans="1:10" x14ac:dyDescent="0.35">
      <c r="A135" s="153">
        <v>1062394</v>
      </c>
      <c r="B135" s="15" t="s">
        <v>472</v>
      </c>
      <c r="C135" s="153">
        <v>1062394</v>
      </c>
      <c r="D135" s="15" t="s">
        <v>473</v>
      </c>
      <c r="E135" s="54">
        <v>3876000</v>
      </c>
      <c r="F135" s="16" t="s">
        <v>611</v>
      </c>
      <c r="G135" s="16"/>
      <c r="H135" s="16"/>
      <c r="I135" s="1">
        <v>1</v>
      </c>
      <c r="J135" s="1">
        <v>1</v>
      </c>
    </row>
    <row r="136" spans="1:10" x14ac:dyDescent="0.35">
      <c r="A136" s="153">
        <v>1062992</v>
      </c>
      <c r="B136" s="15" t="s">
        <v>474</v>
      </c>
      <c r="C136" s="153">
        <v>1062992</v>
      </c>
      <c r="D136" s="15" t="s">
        <v>475</v>
      </c>
      <c r="E136" s="54">
        <v>3876000</v>
      </c>
      <c r="F136" s="16" t="s">
        <v>611</v>
      </c>
      <c r="G136" s="16"/>
      <c r="H136" s="16"/>
      <c r="I136" s="1">
        <v>1</v>
      </c>
      <c r="J136" s="1">
        <v>1</v>
      </c>
    </row>
    <row r="137" spans="1:10" x14ac:dyDescent="0.35">
      <c r="A137" s="153">
        <v>1063031</v>
      </c>
      <c r="B137" s="15" t="s">
        <v>476</v>
      </c>
      <c r="C137" s="153">
        <v>1063031</v>
      </c>
      <c r="D137" s="15" t="s">
        <v>477</v>
      </c>
      <c r="E137" s="54">
        <v>3876000</v>
      </c>
      <c r="F137" s="16" t="s">
        <v>611</v>
      </c>
      <c r="G137" s="16"/>
      <c r="H137" s="16"/>
      <c r="I137" s="1">
        <v>1</v>
      </c>
      <c r="J137" s="1">
        <v>1</v>
      </c>
    </row>
    <row r="138" spans="1:10" x14ac:dyDescent="0.35">
      <c r="A138" s="153">
        <v>1062078</v>
      </c>
      <c r="B138" s="15" t="s">
        <v>478</v>
      </c>
      <c r="C138" s="153">
        <v>1062078</v>
      </c>
      <c r="D138" s="15" t="s">
        <v>479</v>
      </c>
      <c r="E138" s="54">
        <v>3876000</v>
      </c>
      <c r="F138" s="16" t="s">
        <v>611</v>
      </c>
      <c r="G138" s="16"/>
      <c r="H138" s="16"/>
      <c r="I138" s="1">
        <v>1</v>
      </c>
      <c r="J138" s="1">
        <v>1</v>
      </c>
    </row>
    <row r="139" spans="1:10" x14ac:dyDescent="0.35">
      <c r="A139" s="153">
        <v>1063026</v>
      </c>
      <c r="B139" s="15" t="s">
        <v>480</v>
      </c>
      <c r="C139" s="153">
        <v>1063026</v>
      </c>
      <c r="D139" s="15" t="s">
        <v>481</v>
      </c>
      <c r="E139" s="54">
        <v>3876000</v>
      </c>
      <c r="F139" s="16" t="s">
        <v>611</v>
      </c>
      <c r="G139" s="16"/>
      <c r="H139" s="16"/>
      <c r="I139" s="1">
        <v>1</v>
      </c>
      <c r="J139" s="1">
        <v>1</v>
      </c>
    </row>
    <row r="140" spans="1:10" x14ac:dyDescent="0.35">
      <c r="A140" s="153">
        <v>1061932</v>
      </c>
      <c r="B140" s="15" t="s">
        <v>482</v>
      </c>
      <c r="C140" s="153">
        <v>1061932</v>
      </c>
      <c r="D140" s="15" t="s">
        <v>483</v>
      </c>
      <c r="E140" s="54">
        <v>3876000</v>
      </c>
      <c r="F140" s="16" t="s">
        <v>611</v>
      </c>
      <c r="G140" s="16"/>
      <c r="H140" s="16"/>
      <c r="I140" s="1">
        <v>1</v>
      </c>
      <c r="J140" s="1">
        <v>1</v>
      </c>
    </row>
    <row r="141" spans="1:10" x14ac:dyDescent="0.35">
      <c r="A141" s="153">
        <v>1063021</v>
      </c>
      <c r="B141" s="15" t="s">
        <v>484</v>
      </c>
      <c r="C141" s="153">
        <v>1063021</v>
      </c>
      <c r="D141" s="15" t="s">
        <v>485</v>
      </c>
      <c r="E141" s="54">
        <v>3264000</v>
      </c>
      <c r="F141" s="16" t="s">
        <v>611</v>
      </c>
      <c r="G141" s="16"/>
      <c r="H141" s="16"/>
      <c r="I141" s="1">
        <v>1</v>
      </c>
      <c r="J141" s="1">
        <v>1</v>
      </c>
    </row>
    <row r="142" spans="1:10" x14ac:dyDescent="0.35">
      <c r="A142" s="153">
        <v>1063020</v>
      </c>
      <c r="B142" s="15" t="s">
        <v>486</v>
      </c>
      <c r="C142" s="153">
        <v>1063020</v>
      </c>
      <c r="D142" s="15" t="s">
        <v>487</v>
      </c>
      <c r="E142" s="54">
        <v>3060000</v>
      </c>
      <c r="F142" s="16" t="s">
        <v>611</v>
      </c>
      <c r="G142" s="16"/>
      <c r="H142" s="16"/>
      <c r="I142" s="1">
        <v>1</v>
      </c>
      <c r="J142" s="1">
        <v>1</v>
      </c>
    </row>
    <row r="143" spans="1:10" x14ac:dyDescent="0.35">
      <c r="A143" s="153">
        <v>1061933</v>
      </c>
      <c r="B143" s="15" t="s">
        <v>488</v>
      </c>
      <c r="C143" s="153">
        <v>1061933</v>
      </c>
      <c r="D143" s="15" t="s">
        <v>489</v>
      </c>
      <c r="E143" s="54">
        <v>3468000</v>
      </c>
      <c r="F143" s="16" t="s">
        <v>611</v>
      </c>
      <c r="G143" s="16"/>
      <c r="H143" s="16"/>
      <c r="I143" s="1">
        <v>1</v>
      </c>
      <c r="J143" s="1">
        <v>1</v>
      </c>
    </row>
    <row r="144" spans="1:10" x14ac:dyDescent="0.35">
      <c r="A144" s="153">
        <v>1063018</v>
      </c>
      <c r="B144" s="15" t="s">
        <v>490</v>
      </c>
      <c r="C144" s="153">
        <v>1063018</v>
      </c>
      <c r="D144" s="15" t="s">
        <v>491</v>
      </c>
      <c r="E144" s="54">
        <v>3672000</v>
      </c>
      <c r="F144" s="16" t="s">
        <v>611</v>
      </c>
      <c r="G144" s="16"/>
      <c r="H144" s="16"/>
      <c r="I144" s="1">
        <v>1</v>
      </c>
      <c r="J144" s="1">
        <v>1</v>
      </c>
    </row>
    <row r="145" spans="1:10" x14ac:dyDescent="0.35">
      <c r="A145" s="153">
        <v>1063014</v>
      </c>
      <c r="B145" s="15" t="s">
        <v>492</v>
      </c>
      <c r="C145" s="153">
        <v>1063014</v>
      </c>
      <c r="D145" s="15" t="s">
        <v>493</v>
      </c>
      <c r="E145" s="54">
        <v>3672000</v>
      </c>
      <c r="F145" s="16" t="s">
        <v>611</v>
      </c>
      <c r="G145" s="16"/>
      <c r="H145" s="16"/>
      <c r="I145" s="1">
        <v>1</v>
      </c>
      <c r="J145" s="1">
        <v>1</v>
      </c>
    </row>
    <row r="146" spans="1:10" x14ac:dyDescent="0.35">
      <c r="A146" s="153">
        <v>1063123</v>
      </c>
      <c r="B146" s="15" t="s">
        <v>494</v>
      </c>
      <c r="C146" s="153">
        <v>1063123</v>
      </c>
      <c r="D146" s="15" t="s">
        <v>495</v>
      </c>
      <c r="E146" s="54">
        <v>3876000</v>
      </c>
      <c r="F146" s="16" t="s">
        <v>611</v>
      </c>
      <c r="G146" s="16"/>
      <c r="H146" s="16"/>
      <c r="I146" s="1">
        <v>1</v>
      </c>
      <c r="J146" s="1">
        <v>1</v>
      </c>
    </row>
    <row r="147" spans="1:10" x14ac:dyDescent="0.35">
      <c r="A147" s="153">
        <v>1061931</v>
      </c>
      <c r="B147" s="15" t="s">
        <v>496</v>
      </c>
      <c r="C147" s="153">
        <v>1061931</v>
      </c>
      <c r="D147" s="15" t="s">
        <v>497</v>
      </c>
      <c r="E147" s="54">
        <v>3876000</v>
      </c>
      <c r="F147" s="16" t="s">
        <v>611</v>
      </c>
      <c r="G147" s="16"/>
      <c r="H147" s="16"/>
      <c r="I147" s="1">
        <v>1</v>
      </c>
      <c r="J147" s="1">
        <v>1</v>
      </c>
    </row>
    <row r="148" spans="1:10" x14ac:dyDescent="0.35">
      <c r="A148" s="153">
        <v>1063025</v>
      </c>
      <c r="B148" s="15" t="s">
        <v>498</v>
      </c>
      <c r="C148" s="153">
        <v>1063025</v>
      </c>
      <c r="D148" s="15" t="s">
        <v>499</v>
      </c>
      <c r="E148" s="54">
        <v>3876000</v>
      </c>
      <c r="F148" s="16" t="s">
        <v>611</v>
      </c>
      <c r="G148" s="16"/>
      <c r="H148" s="16"/>
      <c r="I148" s="1">
        <v>1</v>
      </c>
      <c r="J148" s="1">
        <v>1</v>
      </c>
    </row>
    <row r="149" spans="1:10" x14ac:dyDescent="0.35">
      <c r="A149" s="153">
        <v>1061942</v>
      </c>
      <c r="B149" s="15" t="s">
        <v>500</v>
      </c>
      <c r="C149" s="153">
        <v>1061942</v>
      </c>
      <c r="D149" s="15" t="s">
        <v>501</v>
      </c>
      <c r="E149" s="54">
        <v>3876000</v>
      </c>
      <c r="F149" s="16" t="s">
        <v>611</v>
      </c>
      <c r="G149" s="16"/>
      <c r="H149" s="16"/>
      <c r="I149" s="1">
        <v>1</v>
      </c>
      <c r="J149" s="1">
        <v>1</v>
      </c>
    </row>
    <row r="150" spans="1:10" x14ac:dyDescent="0.35">
      <c r="A150" s="153">
        <v>1062393</v>
      </c>
      <c r="B150" s="15" t="s">
        <v>502</v>
      </c>
      <c r="C150" s="153">
        <v>1062393</v>
      </c>
      <c r="D150" s="15" t="s">
        <v>503</v>
      </c>
      <c r="E150" s="54">
        <v>4080000</v>
      </c>
      <c r="F150" s="16" t="s">
        <v>611</v>
      </c>
      <c r="G150" s="16"/>
      <c r="H150" s="16"/>
      <c r="I150" s="1">
        <v>1</v>
      </c>
      <c r="J150" s="1">
        <v>1</v>
      </c>
    </row>
    <row r="151" spans="1:10" x14ac:dyDescent="0.35">
      <c r="A151" s="153">
        <v>1063523</v>
      </c>
      <c r="B151" s="15" t="s">
        <v>504</v>
      </c>
      <c r="C151" s="153">
        <v>1063523</v>
      </c>
      <c r="D151" s="15" t="s">
        <v>505</v>
      </c>
      <c r="E151" s="54">
        <v>4080000</v>
      </c>
      <c r="F151" s="16" t="s">
        <v>611</v>
      </c>
      <c r="G151" s="16"/>
      <c r="H151" s="16"/>
      <c r="I151" s="1">
        <v>1</v>
      </c>
      <c r="J151" s="1">
        <v>1</v>
      </c>
    </row>
    <row r="152" spans="1:10" x14ac:dyDescent="0.35">
      <c r="A152" s="153">
        <v>1063168</v>
      </c>
      <c r="B152" s="15" t="s">
        <v>181</v>
      </c>
      <c r="C152" s="153">
        <v>1063168</v>
      </c>
      <c r="D152" s="15" t="s">
        <v>182</v>
      </c>
      <c r="E152" s="54">
        <v>4200000</v>
      </c>
      <c r="F152" s="16" t="s">
        <v>611</v>
      </c>
      <c r="G152" s="16"/>
      <c r="H152" s="16"/>
      <c r="I152" s="1">
        <v>1</v>
      </c>
      <c r="J152" s="1">
        <v>1</v>
      </c>
    </row>
    <row r="153" spans="1:10" x14ac:dyDescent="0.35">
      <c r="A153" s="153">
        <v>1093339</v>
      </c>
      <c r="B153" s="15" t="s">
        <v>184</v>
      </c>
      <c r="C153" s="153">
        <v>1093339</v>
      </c>
      <c r="D153" s="15" t="s">
        <v>185</v>
      </c>
      <c r="E153" s="54">
        <v>4200000</v>
      </c>
      <c r="F153" s="16" t="s">
        <v>611</v>
      </c>
      <c r="G153" s="16"/>
      <c r="H153" s="16"/>
      <c r="I153" s="1">
        <v>1</v>
      </c>
      <c r="J153" s="1">
        <v>1</v>
      </c>
    </row>
    <row r="154" spans="1:10" x14ac:dyDescent="0.35">
      <c r="A154" s="153">
        <v>1061930</v>
      </c>
      <c r="B154" s="15" t="s">
        <v>186</v>
      </c>
      <c r="C154" s="153">
        <v>1061930</v>
      </c>
      <c r="D154" s="15" t="s">
        <v>187</v>
      </c>
      <c r="E154" s="54">
        <v>4200000</v>
      </c>
      <c r="F154" s="16" t="s">
        <v>611</v>
      </c>
      <c r="G154" s="16"/>
      <c r="H154" s="16"/>
      <c r="I154" s="1">
        <v>1</v>
      </c>
      <c r="J154" s="1">
        <v>1</v>
      </c>
    </row>
    <row r="155" spans="1:10" x14ac:dyDescent="0.35">
      <c r="A155" s="153">
        <v>1063122</v>
      </c>
      <c r="B155" s="15" t="s">
        <v>188</v>
      </c>
      <c r="C155" s="153">
        <v>1063122</v>
      </c>
      <c r="D155" s="15" t="s">
        <v>189</v>
      </c>
      <c r="E155" s="54">
        <v>4200000</v>
      </c>
      <c r="F155" s="16" t="s">
        <v>611</v>
      </c>
      <c r="G155" s="16"/>
      <c r="H155" s="16"/>
      <c r="I155" s="1">
        <v>1</v>
      </c>
      <c r="J155" s="1">
        <v>1</v>
      </c>
    </row>
    <row r="156" spans="1:10" x14ac:dyDescent="0.35">
      <c r="A156" s="153">
        <v>1062095</v>
      </c>
      <c r="B156" s="15" t="s">
        <v>190</v>
      </c>
      <c r="C156" s="153">
        <v>1062095</v>
      </c>
      <c r="D156" s="15" t="s">
        <v>191</v>
      </c>
      <c r="E156" s="54">
        <v>4200000</v>
      </c>
      <c r="F156" s="16" t="s">
        <v>611</v>
      </c>
      <c r="G156" s="16"/>
      <c r="H156" s="16"/>
      <c r="I156" s="1">
        <v>1</v>
      </c>
      <c r="J156" s="1">
        <v>1</v>
      </c>
    </row>
    <row r="157" spans="1:10" x14ac:dyDescent="0.35">
      <c r="A157" s="153">
        <v>1062094</v>
      </c>
      <c r="B157" s="15" t="s">
        <v>192</v>
      </c>
      <c r="C157" s="153">
        <v>1062094</v>
      </c>
      <c r="D157" s="15" t="s">
        <v>193</v>
      </c>
      <c r="E157" s="54">
        <v>4200000</v>
      </c>
      <c r="F157" s="16" t="s">
        <v>611</v>
      </c>
      <c r="G157" s="16"/>
      <c r="H157" s="16"/>
      <c r="I157" s="1">
        <v>1</v>
      </c>
      <c r="J157" s="1">
        <v>1</v>
      </c>
    </row>
    <row r="158" spans="1:10" x14ac:dyDescent="0.35">
      <c r="A158" s="153">
        <v>1063003</v>
      </c>
      <c r="B158" s="15" t="s">
        <v>194</v>
      </c>
      <c r="C158" s="153">
        <v>1063003</v>
      </c>
      <c r="D158" s="15" t="s">
        <v>195</v>
      </c>
      <c r="E158" s="54">
        <v>4200000</v>
      </c>
      <c r="F158" s="16" t="s">
        <v>611</v>
      </c>
      <c r="G158" s="16"/>
      <c r="H158" s="16"/>
      <c r="I158" s="1">
        <v>1</v>
      </c>
      <c r="J158" s="1">
        <v>1</v>
      </c>
    </row>
    <row r="159" spans="1:10" x14ac:dyDescent="0.35">
      <c r="A159" s="153">
        <v>1061929</v>
      </c>
      <c r="B159" s="15" t="s">
        <v>196</v>
      </c>
      <c r="C159" s="153">
        <v>1061929</v>
      </c>
      <c r="D159" s="15" t="s">
        <v>197</v>
      </c>
      <c r="E159" s="54">
        <v>4200000</v>
      </c>
      <c r="F159" s="16" t="s">
        <v>611</v>
      </c>
      <c r="G159" s="16"/>
      <c r="H159" s="16"/>
      <c r="I159" s="1">
        <v>1</v>
      </c>
      <c r="J159" s="1">
        <v>1</v>
      </c>
    </row>
    <row r="160" spans="1:10" x14ac:dyDescent="0.35">
      <c r="A160" s="153">
        <v>1063522</v>
      </c>
      <c r="B160" s="15" t="s">
        <v>198</v>
      </c>
      <c r="C160" s="153">
        <v>1063522</v>
      </c>
      <c r="D160" s="15" t="s">
        <v>199</v>
      </c>
      <c r="E160" s="54">
        <v>4200000</v>
      </c>
      <c r="F160" s="16" t="s">
        <v>611</v>
      </c>
      <c r="G160" s="16"/>
      <c r="H160" s="16"/>
      <c r="I160" s="1">
        <v>1</v>
      </c>
      <c r="J160" s="1">
        <v>1</v>
      </c>
    </row>
    <row r="161" spans="1:10" x14ac:dyDescent="0.35">
      <c r="A161" s="153">
        <v>1061928</v>
      </c>
      <c r="B161" s="15" t="s">
        <v>200</v>
      </c>
      <c r="C161" s="153">
        <v>1061928</v>
      </c>
      <c r="D161" s="15" t="s">
        <v>201</v>
      </c>
      <c r="E161" s="54">
        <v>4200000</v>
      </c>
      <c r="F161" s="16" t="s">
        <v>611</v>
      </c>
      <c r="G161" s="16"/>
      <c r="H161" s="16"/>
      <c r="I161" s="1">
        <v>1</v>
      </c>
      <c r="J161" s="1">
        <v>1</v>
      </c>
    </row>
    <row r="162" spans="1:10" x14ac:dyDescent="0.35">
      <c r="A162" s="153">
        <v>1063121</v>
      </c>
      <c r="B162" s="15" t="s">
        <v>202</v>
      </c>
      <c r="C162" s="153">
        <v>1063121</v>
      </c>
      <c r="D162" s="15" t="s">
        <v>203</v>
      </c>
      <c r="E162" s="54">
        <v>4200000</v>
      </c>
      <c r="F162" s="16" t="s">
        <v>611</v>
      </c>
      <c r="G162" s="16"/>
      <c r="H162" s="16"/>
      <c r="I162" s="1">
        <v>1</v>
      </c>
      <c r="J162" s="1">
        <v>1</v>
      </c>
    </row>
    <row r="163" spans="1:10" x14ac:dyDescent="0.35">
      <c r="A163" s="153">
        <v>1063001</v>
      </c>
      <c r="B163" s="15" t="s">
        <v>204</v>
      </c>
      <c r="C163" s="153">
        <v>1063001</v>
      </c>
      <c r="D163" s="15" t="s">
        <v>205</v>
      </c>
      <c r="E163" s="54">
        <v>4200000</v>
      </c>
      <c r="F163" s="16" t="s">
        <v>611</v>
      </c>
      <c r="G163" s="16"/>
      <c r="H163" s="16"/>
      <c r="I163" s="1">
        <v>1</v>
      </c>
      <c r="J163" s="1">
        <v>1</v>
      </c>
    </row>
    <row r="164" spans="1:10" x14ac:dyDescent="0.35">
      <c r="A164" s="153">
        <v>1093338</v>
      </c>
      <c r="B164" s="15" t="s">
        <v>206</v>
      </c>
      <c r="C164" s="153">
        <v>1093338</v>
      </c>
      <c r="D164" s="15" t="s">
        <v>207</v>
      </c>
      <c r="E164" s="54">
        <v>3990000</v>
      </c>
      <c r="F164" s="16" t="s">
        <v>611</v>
      </c>
      <c r="G164" s="16"/>
      <c r="H164" s="16"/>
      <c r="I164" s="1">
        <v>1</v>
      </c>
      <c r="J164" s="1">
        <v>1</v>
      </c>
    </row>
    <row r="165" spans="1:10" x14ac:dyDescent="0.35">
      <c r="A165" s="153">
        <v>1061947</v>
      </c>
      <c r="B165" s="15" t="s">
        <v>208</v>
      </c>
      <c r="C165" s="153">
        <v>1061947</v>
      </c>
      <c r="D165" s="15" t="s">
        <v>209</v>
      </c>
      <c r="E165" s="54">
        <v>4200000</v>
      </c>
      <c r="F165" s="16" t="s">
        <v>611</v>
      </c>
      <c r="G165" s="16"/>
      <c r="H165" s="16"/>
      <c r="I165" s="1">
        <v>1</v>
      </c>
      <c r="J165" s="1">
        <v>1</v>
      </c>
    </row>
    <row r="166" spans="1:10" x14ac:dyDescent="0.35">
      <c r="A166" s="153">
        <v>1061927</v>
      </c>
      <c r="B166" s="15" t="s">
        <v>210</v>
      </c>
      <c r="C166" s="153">
        <v>1061927</v>
      </c>
      <c r="D166" s="15" t="s">
        <v>211</v>
      </c>
      <c r="E166" s="54">
        <v>4200000</v>
      </c>
      <c r="F166" s="16" t="s">
        <v>611</v>
      </c>
      <c r="G166" s="16"/>
      <c r="H166" s="16"/>
      <c r="I166" s="1">
        <v>1</v>
      </c>
      <c r="J166" s="1">
        <v>1</v>
      </c>
    </row>
    <row r="167" spans="1:10" x14ac:dyDescent="0.35">
      <c r="A167" s="153">
        <v>1063120</v>
      </c>
      <c r="B167" s="15" t="s">
        <v>212</v>
      </c>
      <c r="C167" s="153">
        <v>1063120</v>
      </c>
      <c r="D167" s="15" t="s">
        <v>213</v>
      </c>
      <c r="E167" s="54">
        <v>4200000</v>
      </c>
      <c r="F167" s="16" t="s">
        <v>611</v>
      </c>
      <c r="G167" s="16"/>
      <c r="H167" s="16"/>
      <c r="I167" s="1">
        <v>1</v>
      </c>
      <c r="J167" s="1">
        <v>1</v>
      </c>
    </row>
    <row r="168" spans="1:10" x14ac:dyDescent="0.35">
      <c r="A168" s="153">
        <v>1063030</v>
      </c>
      <c r="B168" s="15" t="s">
        <v>214</v>
      </c>
      <c r="C168" s="153">
        <v>1063030</v>
      </c>
      <c r="D168" s="15" t="s">
        <v>215</v>
      </c>
      <c r="E168" s="54">
        <v>2730000</v>
      </c>
      <c r="F168" s="16" t="s">
        <v>611</v>
      </c>
      <c r="G168" s="16"/>
      <c r="H168" s="16"/>
      <c r="I168" s="1">
        <v>1</v>
      </c>
      <c r="J168" s="1">
        <v>1</v>
      </c>
    </row>
    <row r="169" spans="1:10" x14ac:dyDescent="0.35">
      <c r="A169" s="153">
        <v>1062391</v>
      </c>
      <c r="B169" s="15" t="s">
        <v>216</v>
      </c>
      <c r="C169" s="153">
        <v>1062391</v>
      </c>
      <c r="D169" s="15" t="s">
        <v>217</v>
      </c>
      <c r="E169" s="54">
        <v>2814000</v>
      </c>
      <c r="F169" s="16" t="s">
        <v>611</v>
      </c>
      <c r="G169" s="16"/>
      <c r="H169" s="16"/>
      <c r="I169" s="1">
        <v>1</v>
      </c>
      <c r="J169" s="1">
        <v>1</v>
      </c>
    </row>
    <row r="170" spans="1:10" x14ac:dyDescent="0.35">
      <c r="A170" s="153">
        <v>1063000</v>
      </c>
      <c r="B170" s="15" t="s">
        <v>220</v>
      </c>
      <c r="C170" s="153">
        <v>1063000</v>
      </c>
      <c r="D170" s="15" t="s">
        <v>221</v>
      </c>
      <c r="E170" s="54">
        <v>4896000</v>
      </c>
      <c r="F170" s="16" t="s">
        <v>611</v>
      </c>
      <c r="G170" s="16"/>
      <c r="H170" s="16"/>
      <c r="I170" s="1">
        <v>1</v>
      </c>
      <c r="J170" s="1">
        <v>1</v>
      </c>
    </row>
    <row r="171" spans="1:10" x14ac:dyDescent="0.35">
      <c r="A171" s="153">
        <v>1063029</v>
      </c>
      <c r="B171" s="15" t="s">
        <v>222</v>
      </c>
      <c r="C171" s="153">
        <v>1063029</v>
      </c>
      <c r="D171" s="15" t="s">
        <v>223</v>
      </c>
      <c r="E171" s="54">
        <v>4896000</v>
      </c>
      <c r="F171" s="16" t="s">
        <v>611</v>
      </c>
      <c r="G171" s="16"/>
      <c r="H171" s="16"/>
      <c r="I171" s="1">
        <v>1</v>
      </c>
      <c r="J171" s="1">
        <v>1</v>
      </c>
    </row>
    <row r="172" spans="1:10" x14ac:dyDescent="0.35">
      <c r="A172" s="153">
        <v>1062335</v>
      </c>
      <c r="B172" s="15" t="s">
        <v>226</v>
      </c>
      <c r="C172" s="153">
        <v>1062335</v>
      </c>
      <c r="D172" s="15" t="s">
        <v>227</v>
      </c>
      <c r="E172" s="54">
        <v>4896000</v>
      </c>
      <c r="F172" s="16" t="s">
        <v>611</v>
      </c>
      <c r="G172" s="16"/>
      <c r="H172" s="16"/>
      <c r="I172" s="1">
        <v>1</v>
      </c>
      <c r="J172" s="1">
        <v>1</v>
      </c>
    </row>
    <row r="173" spans="1:10" x14ac:dyDescent="0.35">
      <c r="A173" s="153">
        <v>1063019</v>
      </c>
      <c r="B173" s="15" t="s">
        <v>228</v>
      </c>
      <c r="C173" s="153">
        <v>1063019</v>
      </c>
      <c r="D173" s="15" t="s">
        <v>229</v>
      </c>
      <c r="E173" s="54">
        <v>4896000</v>
      </c>
      <c r="F173" s="16" t="s">
        <v>611</v>
      </c>
      <c r="G173" s="16"/>
      <c r="H173" s="16"/>
      <c r="I173" s="1">
        <v>1</v>
      </c>
      <c r="J173" s="1">
        <v>1</v>
      </c>
    </row>
    <row r="174" spans="1:10" x14ac:dyDescent="0.35">
      <c r="A174" s="153">
        <v>1061946</v>
      </c>
      <c r="B174" s="15" t="s">
        <v>232</v>
      </c>
      <c r="C174" s="153">
        <v>1061946</v>
      </c>
      <c r="D174" s="15" t="s">
        <v>233</v>
      </c>
      <c r="E174" s="54">
        <v>4896000</v>
      </c>
      <c r="F174" s="16" t="s">
        <v>611</v>
      </c>
      <c r="G174" s="16"/>
      <c r="H174" s="16"/>
      <c r="I174" s="1">
        <v>1</v>
      </c>
      <c r="J174" s="1">
        <v>1</v>
      </c>
    </row>
    <row r="175" spans="1:10" x14ac:dyDescent="0.35">
      <c r="A175" s="153">
        <v>1062999</v>
      </c>
      <c r="B175" s="15" t="s">
        <v>234</v>
      </c>
      <c r="C175" s="153">
        <v>1062999</v>
      </c>
      <c r="D175" s="15" t="s">
        <v>235</v>
      </c>
      <c r="E175" s="54">
        <v>4896000</v>
      </c>
      <c r="F175" s="16" t="s">
        <v>611</v>
      </c>
      <c r="G175" s="16"/>
      <c r="H175" s="16"/>
      <c r="I175" s="1">
        <v>1</v>
      </c>
      <c r="J175" s="1">
        <v>1</v>
      </c>
    </row>
    <row r="176" spans="1:10" x14ac:dyDescent="0.35">
      <c r="A176" s="153">
        <v>1061912</v>
      </c>
      <c r="B176" s="15" t="s">
        <v>238</v>
      </c>
      <c r="C176" s="153">
        <v>1061912</v>
      </c>
      <c r="D176" s="15" t="s">
        <v>239</v>
      </c>
      <c r="E176" s="54">
        <v>4896000</v>
      </c>
      <c r="F176" s="16" t="s">
        <v>611</v>
      </c>
      <c r="G176" s="16"/>
      <c r="H176" s="16"/>
      <c r="I176" s="1">
        <v>1</v>
      </c>
      <c r="J176" s="1">
        <v>1</v>
      </c>
    </row>
    <row r="177" spans="1:10" x14ac:dyDescent="0.35">
      <c r="A177" s="153">
        <v>1061945</v>
      </c>
      <c r="B177" s="15" t="s">
        <v>240</v>
      </c>
      <c r="C177" s="153">
        <v>1061945</v>
      </c>
      <c r="D177" s="15" t="s">
        <v>241</v>
      </c>
      <c r="E177" s="54">
        <v>4896000</v>
      </c>
      <c r="F177" s="16" t="s">
        <v>611</v>
      </c>
      <c r="G177" s="16"/>
      <c r="H177" s="16"/>
      <c r="I177" s="1">
        <v>1</v>
      </c>
      <c r="J177" s="1">
        <v>1</v>
      </c>
    </row>
    <row r="178" spans="1:10" x14ac:dyDescent="0.35">
      <c r="A178" s="153">
        <v>1062997</v>
      </c>
      <c r="B178" s="15" t="s">
        <v>244</v>
      </c>
      <c r="C178" s="153">
        <v>1062997</v>
      </c>
      <c r="D178" s="15" t="s">
        <v>245</v>
      </c>
      <c r="E178" s="54">
        <v>4896000</v>
      </c>
      <c r="F178" s="16" t="s">
        <v>611</v>
      </c>
      <c r="G178" s="16"/>
      <c r="H178" s="16"/>
      <c r="I178" s="1">
        <v>1</v>
      </c>
      <c r="J178" s="1">
        <v>1</v>
      </c>
    </row>
    <row r="179" spans="1:10" x14ac:dyDescent="0.35">
      <c r="A179" s="153">
        <v>1061920</v>
      </c>
      <c r="B179" s="15" t="s">
        <v>506</v>
      </c>
      <c r="C179" s="153">
        <v>1061920</v>
      </c>
      <c r="D179" s="15" t="s">
        <v>507</v>
      </c>
      <c r="E179" s="54">
        <v>3060000</v>
      </c>
      <c r="F179" s="16" t="s">
        <v>611</v>
      </c>
      <c r="G179" s="16"/>
      <c r="H179" s="16"/>
      <c r="I179" s="1">
        <v>1</v>
      </c>
      <c r="J179" s="1">
        <v>1</v>
      </c>
    </row>
    <row r="180" spans="1:10" x14ac:dyDescent="0.35">
      <c r="A180" s="153">
        <v>1063028</v>
      </c>
      <c r="B180" s="15" t="s">
        <v>508</v>
      </c>
      <c r="C180" s="153">
        <v>1063028</v>
      </c>
      <c r="D180" s="15" t="s">
        <v>509</v>
      </c>
      <c r="E180" s="54">
        <v>4896000</v>
      </c>
      <c r="F180" s="16" t="s">
        <v>611</v>
      </c>
      <c r="G180" s="16"/>
      <c r="H180" s="16"/>
      <c r="I180" s="1">
        <v>1</v>
      </c>
      <c r="J180" s="1">
        <v>1</v>
      </c>
    </row>
    <row r="181" spans="1:10" x14ac:dyDescent="0.35">
      <c r="A181" s="153">
        <v>1061941</v>
      </c>
      <c r="B181" s="15" t="s">
        <v>510</v>
      </c>
      <c r="C181" s="153">
        <v>1061941</v>
      </c>
      <c r="D181" s="15" t="s">
        <v>511</v>
      </c>
      <c r="E181" s="54">
        <v>4896000</v>
      </c>
      <c r="F181" s="16" t="s">
        <v>611</v>
      </c>
      <c r="G181" s="16"/>
      <c r="H181" s="16"/>
      <c r="I181" s="1">
        <v>1</v>
      </c>
      <c r="J181" s="1">
        <v>1</v>
      </c>
    </row>
    <row r="182" spans="1:10" x14ac:dyDescent="0.35">
      <c r="A182" s="153">
        <v>1061944</v>
      </c>
      <c r="B182" s="15" t="s">
        <v>512</v>
      </c>
      <c r="C182" s="153">
        <v>1061944</v>
      </c>
      <c r="D182" s="15" t="s">
        <v>513</v>
      </c>
      <c r="E182" s="54">
        <v>3264000</v>
      </c>
      <c r="F182" s="16" t="s">
        <v>611</v>
      </c>
      <c r="G182" s="16"/>
      <c r="H182" s="16"/>
      <c r="I182" s="1">
        <v>1</v>
      </c>
      <c r="J182" s="1">
        <v>1</v>
      </c>
    </row>
    <row r="183" spans="1:10" x14ac:dyDescent="0.35">
      <c r="A183" s="153">
        <v>1062986</v>
      </c>
      <c r="B183" s="15" t="s">
        <v>514</v>
      </c>
      <c r="C183" s="153">
        <v>1062986</v>
      </c>
      <c r="D183" s="15" t="s">
        <v>515</v>
      </c>
      <c r="E183" s="54">
        <v>2244000</v>
      </c>
      <c r="F183" s="16" t="s">
        <v>611</v>
      </c>
      <c r="G183" s="16"/>
      <c r="H183" s="16"/>
      <c r="I183" s="1">
        <v>1</v>
      </c>
      <c r="J183" s="1">
        <v>1</v>
      </c>
    </row>
    <row r="184" spans="1:10" x14ac:dyDescent="0.35">
      <c r="A184" s="153">
        <v>1061911</v>
      </c>
      <c r="B184" s="15" t="s">
        <v>516</v>
      </c>
      <c r="C184" s="153">
        <v>1061911</v>
      </c>
      <c r="D184" s="15" t="s">
        <v>517</v>
      </c>
      <c r="E184" s="54">
        <v>2160000</v>
      </c>
      <c r="F184" s="16" t="s">
        <v>611</v>
      </c>
      <c r="G184" s="16"/>
      <c r="H184" s="16"/>
      <c r="I184" s="1">
        <v>1</v>
      </c>
      <c r="J184" s="1">
        <v>1</v>
      </c>
    </row>
    <row r="185" spans="1:10" x14ac:dyDescent="0.35">
      <c r="A185" s="153">
        <v>1062991</v>
      </c>
      <c r="B185" s="15" t="s">
        <v>518</v>
      </c>
      <c r="C185" s="153">
        <v>1062991</v>
      </c>
      <c r="D185" s="15" t="s">
        <v>519</v>
      </c>
      <c r="E185" s="54">
        <v>1500000</v>
      </c>
      <c r="F185" s="16" t="s">
        <v>611</v>
      </c>
      <c r="G185" s="16"/>
      <c r="H185" s="16"/>
      <c r="I185" s="1">
        <v>1</v>
      </c>
      <c r="J185" s="1">
        <v>1</v>
      </c>
    </row>
    <row r="186" spans="1:10" x14ac:dyDescent="0.35">
      <c r="A186" s="153">
        <v>1085461</v>
      </c>
      <c r="B186" s="13" t="s">
        <v>525</v>
      </c>
      <c r="C186" s="153">
        <v>1085461</v>
      </c>
      <c r="D186" s="15" t="s">
        <v>526</v>
      </c>
      <c r="E186" s="54">
        <v>348000</v>
      </c>
      <c r="F186" s="16" t="s">
        <v>611</v>
      </c>
      <c r="G186" s="16" t="s">
        <v>625</v>
      </c>
      <c r="H186" s="16" t="s">
        <v>613</v>
      </c>
      <c r="I186" s="1">
        <v>1</v>
      </c>
      <c r="J186" s="1">
        <v>6</v>
      </c>
    </row>
    <row r="187" spans="1:10" x14ac:dyDescent="0.35">
      <c r="A187" s="153">
        <v>1074536</v>
      </c>
      <c r="B187" s="13" t="s">
        <v>533</v>
      </c>
      <c r="C187" s="153">
        <v>1074536</v>
      </c>
      <c r="D187" s="15" t="s">
        <v>534</v>
      </c>
      <c r="E187" s="54">
        <v>510000</v>
      </c>
      <c r="F187" s="16" t="s">
        <v>626</v>
      </c>
      <c r="G187" s="16" t="s">
        <v>627</v>
      </c>
      <c r="H187" s="16" t="s">
        <v>613</v>
      </c>
      <c r="I187" s="1">
        <v>2</v>
      </c>
      <c r="J187" s="1">
        <v>2</v>
      </c>
    </row>
    <row r="188" spans="1:10" x14ac:dyDescent="0.35">
      <c r="A188" s="153">
        <v>1074537</v>
      </c>
      <c r="B188" s="13" t="s">
        <v>533</v>
      </c>
      <c r="C188" s="153">
        <v>1074537</v>
      </c>
      <c r="D188" s="15" t="s">
        <v>534</v>
      </c>
      <c r="E188" s="54">
        <v>621000</v>
      </c>
      <c r="F188" s="16" t="s">
        <v>628</v>
      </c>
      <c r="G188" s="16" t="s">
        <v>627</v>
      </c>
      <c r="H188" s="16" t="s">
        <v>618</v>
      </c>
      <c r="I188" s="1">
        <v>2</v>
      </c>
      <c r="J188" s="1">
        <v>2</v>
      </c>
    </row>
    <row r="189" spans="1:10" x14ac:dyDescent="0.35">
      <c r="A189" s="153">
        <v>1126266</v>
      </c>
      <c r="B189" s="13" t="s">
        <v>523</v>
      </c>
      <c r="C189" s="153">
        <v>1126266</v>
      </c>
      <c r="D189" s="15" t="s">
        <v>524</v>
      </c>
      <c r="E189" s="54">
        <v>621000</v>
      </c>
      <c r="F189" s="16" t="s">
        <v>611</v>
      </c>
      <c r="G189" s="16"/>
      <c r="H189" s="16"/>
      <c r="I189" s="1">
        <v>1</v>
      </c>
      <c r="J189" s="1">
        <v>1</v>
      </c>
    </row>
    <row r="190" spans="1:10" x14ac:dyDescent="0.35">
      <c r="A190" s="153">
        <v>1126912</v>
      </c>
      <c r="B190" s="53" t="s">
        <v>535</v>
      </c>
      <c r="C190" s="153">
        <v>1126912</v>
      </c>
      <c r="D190" s="15" t="s">
        <v>536</v>
      </c>
      <c r="E190" s="54">
        <v>459000</v>
      </c>
      <c r="F190" s="16" t="s">
        <v>614</v>
      </c>
      <c r="G190" s="16" t="s">
        <v>621</v>
      </c>
      <c r="H190" s="16"/>
      <c r="I190" s="1">
        <v>1</v>
      </c>
      <c r="J190" s="1">
        <v>7</v>
      </c>
    </row>
    <row r="191" spans="1:10" x14ac:dyDescent="0.35">
      <c r="A191" s="153">
        <v>1127168</v>
      </c>
      <c r="B191" s="53" t="s">
        <v>553</v>
      </c>
      <c r="C191" s="153">
        <v>1127168</v>
      </c>
      <c r="D191" s="15" t="s">
        <v>554</v>
      </c>
      <c r="E191" s="54">
        <v>210000</v>
      </c>
      <c r="F191" s="16" t="s">
        <v>614</v>
      </c>
      <c r="G191" s="16" t="s">
        <v>612</v>
      </c>
      <c r="H191" s="16"/>
      <c r="I191" s="1">
        <v>1</v>
      </c>
      <c r="J191" s="1">
        <v>8</v>
      </c>
    </row>
  </sheetData>
  <autoFilter ref="A1:J191" xr:uid="{CD693144-1ED7-446E-9D30-1743F88AAB9A}"/>
  <conditionalFormatting sqref="D1:E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AVALÚO CATASTRAL</vt:lpstr>
      <vt:lpstr>DECRETOS</vt:lpstr>
      <vt:lpstr>INCREMENTO</vt:lpstr>
      <vt:lpstr>DESTINACIÓN</vt:lpstr>
      <vt:lpstr>Hoja2</vt:lpstr>
      <vt:lpstr>AVALÚO PREDIOS ESPECIALES</vt:lpstr>
      <vt:lpstr>Hoja4</vt:lpstr>
      <vt:lpstr>Hoja3</vt:lpstr>
      <vt:lpstr>año</vt:lpstr>
      <vt:lpstr>Hoja1</vt:lpstr>
      <vt:lpstr>AV_MAS_UNIDADES</vt:lpstr>
      <vt:lpstr>AVALUOS_ESPECIALES (2)</vt:lpstr>
      <vt:lpstr>ZONA_TIPO</vt:lpstr>
      <vt:lpstr>USO_ANEX_1</vt:lpstr>
      <vt:lpstr>USO_ANE</vt:lpstr>
      <vt:lpstr>USOS_CONST</vt:lpstr>
      <vt:lpstr>ZHG</vt:lpstr>
      <vt:lpstr>AVALUOS_ESPECIALES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Leidy Portilla</cp:lastModifiedBy>
  <dcterms:created xsi:type="dcterms:W3CDTF">2022-03-03T02:40:13Z</dcterms:created>
  <dcterms:modified xsi:type="dcterms:W3CDTF">2025-01-31T01:52:45Z</dcterms:modified>
</cp:coreProperties>
</file>